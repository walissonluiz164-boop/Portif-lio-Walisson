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ebc3a92d35f11e3/Desktop/Curso DIO/"/>
    </mc:Choice>
  </mc:AlternateContent>
  <xr:revisionPtr revIDLastSave="0" documentId="8_{C27A42E9-6DA3-4769-BF07-E5A551660076}" xr6:coauthVersionLast="47" xr6:coauthVersionMax="47" xr10:uidLastSave="{00000000-0000-0000-0000-000000000000}"/>
  <bookViews>
    <workbookView xWindow="-120" yWindow="-120" windowWidth="20730" windowHeight="11040" xr2:uid="{7A8546D1-78CE-4153-98D5-617BF5ED1052}"/>
  </bookViews>
  <sheets>
    <sheet name="Simulador de Patrimônio" sheetId="1" r:id="rId1"/>
    <sheet name="Planejamento de Férias" sheetId="4" r:id="rId2"/>
    <sheet name="Chave" sheetId="2" state="hidden" r:id="rId3"/>
    <sheet name="Apoio Projeções" sheetId="3" state="hidden" r:id="rId4"/>
  </sheets>
  <definedNames>
    <definedName name="anos">'Simulador de Patrimônio'!$D$21</definedName>
    <definedName name="anos_cenarios">'Apoio Projeções'!$A$3:$A$7</definedName>
    <definedName name="aporte">'Simulador de Patrimônio'!$D$20</definedName>
    <definedName name="aporte_sugerido">'Simulador de Patrimônio'!$D$17</definedName>
    <definedName name="dividendos_aporte">'Apoio Projeções'!$C$3:$C$7</definedName>
    <definedName name="dividendos_sugerido">'Apoio Projeções'!$G$3:$G$7</definedName>
    <definedName name="ferias_aporte">'Planejamento de Férias'!$F$10</definedName>
    <definedName name="ferias_meses">'Planejamento de Férias'!$F$7</definedName>
    <definedName name="ferias_meta">'Planejamento de Férias'!$F$5</definedName>
    <definedName name="ferias_reserva">'Planejamento de Férias'!$F$6</definedName>
    <definedName name="ferias_taxa">'Planejamento de Férias'!$F$8</definedName>
    <definedName name="patrimonio_acumulado">'Simulador de Patrimônio'!$D$23</definedName>
    <definedName name="patrimonio_aporte">'Apoio Projeções'!$B$3:$B$7</definedName>
    <definedName name="patrimonio_sugerido">'Apoio Projeções'!$F$3:$F$7</definedName>
    <definedName name="perfil">'Simulador de Patrimônio'!$C$33</definedName>
    <definedName name="projecao_ferias">'Apoio Projeções'!$I$3:$L$63</definedName>
    <definedName name="rendimento_carteira">'Simulador de Patrimônio'!$D$16</definedName>
    <definedName name="salario">'Simulador de Patrimônio'!$D$15</definedName>
    <definedName name="tabela_perfis">Chave!$A$5:$D$22</definedName>
    <definedName name="taxa_mensal">'Simulador de Patrimônio'!$D$22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6" i="4" l="1" a="1"/>
  <c r="B16" i="4" s="1"/>
  <c r="F12" i="4"/>
  <c r="F11" i="4"/>
  <c r="F10" i="4"/>
  <c r="N2" i="3"/>
  <c r="N3" i="3"/>
  <c r="N4" i="3"/>
  <c r="N5" i="3"/>
  <c r="N6" i="3"/>
  <c r="N7" i="3"/>
  <c r="I4" i="3"/>
  <c r="K4" i="3" s="1"/>
  <c r="L3" i="3"/>
  <c r="B7" i="3"/>
  <c r="C7" i="3" s="1"/>
  <c r="D31" i="1" s="1" a="1"/>
  <c r="D31" i="1" s="1"/>
  <c r="B6" i="3"/>
  <c r="C30" i="1" s="1" a="1"/>
  <c r="C30" i="1" s="1"/>
  <c r="B5" i="3"/>
  <c r="C29" i="1" s="1" a="1"/>
  <c r="C29" i="1" s="1"/>
  <c r="B4" i="3"/>
  <c r="C4" i="3" s="1"/>
  <c r="D28" i="1" s="1" a="1"/>
  <c r="D28" i="1" s="1"/>
  <c r="B3" i="3"/>
  <c r="C3" i="3" s="1"/>
  <c r="D27" i="1" s="1" a="1"/>
  <c r="D27" i="1" s="1"/>
  <c r="I19" i="1"/>
  <c r="I20" i="1" s="1"/>
  <c r="I17" i="1"/>
  <c r="I16" i="1"/>
  <c r="C41" i="1"/>
  <c r="D41" i="1" s="1"/>
  <c r="O7" i="3" s="1"/>
  <c r="C40" i="1"/>
  <c r="D40" i="1" s="1"/>
  <c r="O6" i="3" s="1"/>
  <c r="C39" i="1"/>
  <c r="D39" i="1" s="1"/>
  <c r="O5" i="3" s="1"/>
  <c r="C38" i="1"/>
  <c r="D38" i="1" s="1"/>
  <c r="O4" i="3" s="1"/>
  <c r="C37" i="1"/>
  <c r="D37" i="1" s="1"/>
  <c r="O3" i="3" s="1"/>
  <c r="C36" i="1"/>
  <c r="D36" i="1" s="1"/>
  <c r="C34" i="1"/>
  <c r="C27" i="1" a="1"/>
  <c r="C27" i="1" s="1"/>
  <c r="D23" i="1"/>
  <c r="D24" i="1" s="1"/>
  <c r="D17" i="1"/>
  <c r="F7" i="3" s="1"/>
  <c r="A11" i="2"/>
  <c r="A12" i="2"/>
  <c r="A13" i="2"/>
  <c r="A14" i="2"/>
  <c r="A15" i="2"/>
  <c r="A16" i="2"/>
  <c r="A17" i="2"/>
  <c r="A18" i="2"/>
  <c r="A19" i="2"/>
  <c r="A20" i="2"/>
  <c r="A21" i="2"/>
  <c r="A22" i="2"/>
  <c r="A6" i="2"/>
  <c r="A7" i="2"/>
  <c r="A8" i="2"/>
  <c r="A9" i="2"/>
  <c r="A10" i="2"/>
  <c r="A5" i="2"/>
  <c r="C28" i="1" l="1" a="1"/>
  <c r="C28" i="1" s="1"/>
  <c r="C31" i="1" a="1"/>
  <c r="C31" i="1" s="1"/>
  <c r="C5" i="3"/>
  <c r="D29" i="1" s="1" a="1"/>
  <c r="D29" i="1" s="1"/>
  <c r="C6" i="3"/>
  <c r="D30" i="1" s="1" a="1"/>
  <c r="D30" i="1" s="1"/>
  <c r="G7" i="3"/>
  <c r="H27" i="1" s="1" a="1"/>
  <c r="H27" i="1" s="1"/>
  <c r="G27" i="1" a="1"/>
  <c r="G27" i="1" s="1"/>
  <c r="F3" i="3"/>
  <c r="F4" i="3"/>
  <c r="F5" i="3"/>
  <c r="I15" i="1"/>
  <c r="F6" i="3"/>
  <c r="I5" i="3"/>
  <c r="J4" i="3"/>
  <c r="L4" i="3" s="1"/>
  <c r="O2" i="3"/>
  <c r="D42" i="1"/>
  <c r="G6" i="3" l="1"/>
  <c r="H26" i="1" s="1" a="1"/>
  <c r="H26" i="1" s="1"/>
  <c r="G26" i="1" a="1"/>
  <c r="G26" i="1" s="1"/>
  <c r="G24" i="1" a="1"/>
  <c r="G24" i="1" s="1"/>
  <c r="G4" i="3"/>
  <c r="H24" i="1" s="1" a="1"/>
  <c r="H24" i="1" s="1"/>
  <c r="G25" i="1" a="1"/>
  <c r="G25" i="1" s="1"/>
  <c r="G5" i="3"/>
  <c r="H25" i="1" s="1" a="1"/>
  <c r="H25" i="1" s="1"/>
  <c r="G3" i="3"/>
  <c r="H23" i="1" s="1" a="1"/>
  <c r="H23" i="1" s="1"/>
  <c r="G23" i="1" a="1"/>
  <c r="G23" i="1" s="1"/>
  <c r="K5" i="3"/>
  <c r="J5" i="3"/>
  <c r="I6" i="3"/>
  <c r="L5" i="3" l="1"/>
  <c r="I7" i="3"/>
  <c r="J6" i="3"/>
  <c r="K6" i="3"/>
  <c r="L6" i="3" s="1"/>
  <c r="J7" i="3" l="1"/>
  <c r="I8" i="3"/>
  <c r="K7" i="3"/>
  <c r="L7" i="3" l="1"/>
  <c r="I9" i="3"/>
  <c r="J8" i="3"/>
  <c r="K8" i="3"/>
  <c r="L8" i="3" s="1"/>
  <c r="I10" i="3" l="1"/>
  <c r="J9" i="3"/>
  <c r="K9" i="3"/>
  <c r="L9" i="3"/>
  <c r="I11" i="3" l="1"/>
  <c r="J10" i="3"/>
  <c r="K10" i="3"/>
  <c r="L10" i="3" l="1"/>
  <c r="K11" i="3" s="1"/>
  <c r="I12" i="3"/>
  <c r="J11" i="3"/>
  <c r="L11" i="3" l="1"/>
  <c r="K12" i="3" s="1"/>
  <c r="I13" i="3"/>
  <c r="J12" i="3"/>
  <c r="L12" i="3" l="1"/>
  <c r="K13" i="3" s="1"/>
  <c r="I14" i="3"/>
  <c r="J13" i="3"/>
  <c r="L13" i="3" l="1"/>
  <c r="K14" i="3"/>
  <c r="I15" i="3"/>
  <c r="J14" i="3"/>
  <c r="L14" i="3" l="1"/>
  <c r="K15" i="3" s="1"/>
  <c r="I16" i="3"/>
  <c r="J15" i="3"/>
  <c r="L15" i="3" l="1"/>
  <c r="I17" i="3"/>
  <c r="J16" i="3"/>
  <c r="K16" i="3"/>
  <c r="L16" i="3"/>
  <c r="I18" i="3" l="1"/>
  <c r="K17" i="3"/>
  <c r="J17" i="3"/>
  <c r="L17" i="3"/>
  <c r="I19" i="3" l="1"/>
  <c r="J18" i="3"/>
  <c r="K18" i="3"/>
  <c r="L18" i="3"/>
  <c r="I20" i="3" l="1"/>
  <c r="L19" i="3"/>
  <c r="K19" i="3"/>
  <c r="J19" i="3"/>
  <c r="I21" i="3" l="1"/>
  <c r="L20" i="3"/>
  <c r="K20" i="3"/>
  <c r="J20" i="3"/>
  <c r="I22" i="3" l="1"/>
  <c r="L21" i="3"/>
  <c r="K21" i="3"/>
  <c r="J21" i="3"/>
  <c r="I23" i="3" l="1"/>
  <c r="K22" i="3"/>
  <c r="J22" i="3"/>
  <c r="L22" i="3"/>
  <c r="I24" i="3" l="1"/>
  <c r="J23" i="3"/>
  <c r="K23" i="3"/>
  <c r="L23" i="3"/>
  <c r="I25" i="3" l="1"/>
  <c r="J24" i="3"/>
  <c r="L24" i="3"/>
  <c r="K24" i="3"/>
  <c r="I26" i="3" l="1"/>
  <c r="K25" i="3"/>
  <c r="J25" i="3"/>
  <c r="L25" i="3"/>
  <c r="I27" i="3" l="1"/>
  <c r="K26" i="3"/>
  <c r="L26" i="3"/>
  <c r="J26" i="3"/>
  <c r="I28" i="3" l="1"/>
  <c r="J27" i="3"/>
  <c r="L27" i="3"/>
  <c r="K27" i="3"/>
  <c r="I29" i="3" l="1"/>
  <c r="L28" i="3"/>
  <c r="K28" i="3"/>
  <c r="J28" i="3"/>
  <c r="I30" i="3" l="1"/>
  <c r="L29" i="3"/>
  <c r="K29" i="3"/>
  <c r="J29" i="3"/>
  <c r="I31" i="3" l="1"/>
  <c r="K30" i="3"/>
  <c r="J30" i="3"/>
  <c r="L30" i="3"/>
  <c r="I32" i="3" l="1"/>
  <c r="L31" i="3"/>
  <c r="K31" i="3"/>
  <c r="J31" i="3"/>
  <c r="I33" i="3" l="1"/>
  <c r="J32" i="3"/>
  <c r="L32" i="3"/>
  <c r="K32" i="3"/>
  <c r="I34" i="3" l="1"/>
  <c r="J33" i="3"/>
  <c r="L33" i="3"/>
  <c r="K33" i="3"/>
  <c r="I35" i="3" l="1"/>
  <c r="J34" i="3"/>
  <c r="L34" i="3"/>
  <c r="K34" i="3"/>
  <c r="I36" i="3" l="1"/>
  <c r="J35" i="3"/>
  <c r="L35" i="3"/>
  <c r="K35" i="3"/>
  <c r="I37" i="3" l="1"/>
  <c r="L36" i="3"/>
  <c r="K36" i="3"/>
  <c r="J36" i="3"/>
  <c r="I38" i="3" l="1"/>
  <c r="L37" i="3"/>
  <c r="K37" i="3"/>
  <c r="J37" i="3"/>
  <c r="I39" i="3" l="1"/>
  <c r="K38" i="3"/>
  <c r="J38" i="3"/>
  <c r="L38" i="3"/>
  <c r="I40" i="3" l="1"/>
  <c r="J39" i="3"/>
  <c r="L39" i="3"/>
  <c r="K39" i="3"/>
  <c r="I41" i="3" l="1"/>
  <c r="J40" i="3"/>
  <c r="K40" i="3"/>
  <c r="L40" i="3"/>
  <c r="I42" i="3" l="1"/>
  <c r="L41" i="3"/>
  <c r="K41" i="3"/>
  <c r="J41" i="3"/>
  <c r="I43" i="3" l="1"/>
  <c r="K42" i="3"/>
  <c r="L42" i="3"/>
  <c r="J42" i="3"/>
  <c r="I44" i="3" l="1"/>
  <c r="L43" i="3"/>
  <c r="J43" i="3"/>
  <c r="K43" i="3"/>
  <c r="I45" i="3" l="1"/>
  <c r="J44" i="3"/>
  <c r="L44" i="3"/>
  <c r="K44" i="3"/>
  <c r="I46" i="3" l="1"/>
  <c r="L45" i="3"/>
  <c r="K45" i="3"/>
  <c r="J45" i="3"/>
  <c r="I47" i="3" l="1"/>
  <c r="K46" i="3"/>
  <c r="J46" i="3"/>
  <c r="L46" i="3"/>
  <c r="I48" i="3" l="1"/>
  <c r="K47" i="3"/>
  <c r="J47" i="3"/>
  <c r="L47" i="3"/>
  <c r="I49" i="3" l="1"/>
  <c r="J48" i="3"/>
  <c r="L48" i="3"/>
  <c r="K48" i="3"/>
  <c r="I50" i="3" l="1"/>
  <c r="L49" i="3"/>
  <c r="J49" i="3"/>
  <c r="K49" i="3"/>
  <c r="I51" i="3" l="1"/>
  <c r="J50" i="3"/>
  <c r="K50" i="3"/>
  <c r="L50" i="3"/>
  <c r="I52" i="3" l="1"/>
  <c r="L51" i="3"/>
  <c r="K51" i="3"/>
  <c r="J51" i="3"/>
  <c r="I53" i="3" l="1"/>
  <c r="L52" i="3"/>
  <c r="J52" i="3"/>
  <c r="K52" i="3"/>
  <c r="I54" i="3" l="1"/>
  <c r="L53" i="3"/>
  <c r="K53" i="3"/>
  <c r="J53" i="3"/>
  <c r="I55" i="3" l="1"/>
  <c r="K54" i="3"/>
  <c r="L54" i="3"/>
  <c r="J54" i="3"/>
  <c r="I56" i="3" l="1"/>
  <c r="L55" i="3"/>
  <c r="K55" i="3"/>
  <c r="J55" i="3"/>
  <c r="I57" i="3" l="1"/>
  <c r="J56" i="3"/>
  <c r="K56" i="3"/>
  <c r="L56" i="3"/>
  <c r="I58" i="3" l="1"/>
  <c r="K57" i="3"/>
  <c r="J57" i="3"/>
  <c r="L57" i="3"/>
  <c r="I59" i="3" l="1"/>
  <c r="J58" i="3"/>
  <c r="L58" i="3"/>
  <c r="K58" i="3"/>
  <c r="I60" i="3" l="1"/>
  <c r="J59" i="3"/>
  <c r="L59" i="3"/>
  <c r="K59" i="3"/>
  <c r="I61" i="3" l="1"/>
  <c r="L60" i="3"/>
  <c r="K60" i="3"/>
  <c r="J60" i="3"/>
  <c r="I62" i="3" l="1"/>
  <c r="L61" i="3"/>
  <c r="K61" i="3"/>
  <c r="J61" i="3"/>
  <c r="I63" i="3" l="1"/>
  <c r="K62" i="3"/>
  <c r="J62" i="3"/>
  <c r="L62" i="3"/>
  <c r="J63" i="3" l="1"/>
  <c r="L63" i="3"/>
  <c r="K63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<sst xmlns="http://schemas.openxmlformats.org/spreadsheetml/2006/main" count="106" uniqueCount="58">
  <si>
    <t>Quanto Investir por mês?</t>
  </si>
  <si>
    <t>Por quantos anos?</t>
  </si>
  <si>
    <t>Taxa de Rendimento?</t>
  </si>
  <si>
    <t>Patrimônio acumulado?</t>
  </si>
  <si>
    <t>Dividendos Mensais</t>
  </si>
  <si>
    <t>Investimento Mensal</t>
  </si>
  <si>
    <t>Quanto em 2 anos?</t>
  </si>
  <si>
    <t>Quanto em 5 anos?</t>
  </si>
  <si>
    <t>Quanto em 10 anos?</t>
  </si>
  <si>
    <t>Quanto em 20 anos?</t>
  </si>
  <si>
    <t>Quanto em 30 anos?</t>
  </si>
  <si>
    <t>Cenários</t>
  </si>
  <si>
    <t>Dividendo</t>
  </si>
  <si>
    <t>Configurações</t>
  </si>
  <si>
    <t>Rendimento de Carteira</t>
  </si>
  <si>
    <t>Salário</t>
  </si>
  <si>
    <t>Sugestão de investimento</t>
  </si>
  <si>
    <t>Agressivo</t>
  </si>
  <si>
    <t>Moderado</t>
  </si>
  <si>
    <t>Conservador</t>
  </si>
  <si>
    <t>PERFIL</t>
  </si>
  <si>
    <t>VALOR INVESTIDO POR MÊS</t>
  </si>
  <si>
    <t>Tipo de FI</t>
  </si>
  <si>
    <t>Valor</t>
  </si>
  <si>
    <t>PAPEL</t>
  </si>
  <si>
    <t>TIJOLO</t>
  </si>
  <si>
    <t>HIBRIDOS</t>
  </si>
  <si>
    <t>FOF's</t>
  </si>
  <si>
    <t>DESENVOLVIMENTO</t>
  </si>
  <si>
    <t>HOTELARIAS</t>
  </si>
  <si>
    <t>TIPOS DE FI's</t>
  </si>
  <si>
    <t>%</t>
  </si>
  <si>
    <t>CHAVE</t>
  </si>
  <si>
    <t>Simulação com Aporte Sugerido</t>
  </si>
  <si>
    <t>Aporte sugerido (30% do salário)</t>
  </si>
  <si>
    <t>Horizonte</t>
  </si>
  <si>
    <t>Taxa mensal</t>
  </si>
  <si>
    <t>Patrimônio acumulado</t>
  </si>
  <si>
    <t>Dividendos mensais</t>
  </si>
  <si>
    <t>Anos</t>
  </si>
  <si>
    <t>Patrimônio</t>
  </si>
  <si>
    <t>Dividendos</t>
  </si>
  <si>
    <t>Planejamento do Dinheiro das Férias</t>
  </si>
  <si>
    <t>Meta das férias</t>
  </si>
  <si>
    <t>Reserva atual</t>
  </si>
  <si>
    <t>Meses até as férias</t>
  </si>
  <si>
    <t>Rendimento mensal</t>
  </si>
  <si>
    <t>Aporte mensal necessário</t>
  </si>
  <si>
    <t>Saldo projetado</t>
  </si>
  <si>
    <t>Folga / (déficit)</t>
  </si>
  <si>
    <t>Mês</t>
  </si>
  <si>
    <t>Aporte</t>
  </si>
  <si>
    <t>Rendimento</t>
  </si>
  <si>
    <t>Saldo</t>
  </si>
  <si>
    <t>Cenários — aporte informado</t>
  </si>
  <si>
    <t>Cenários — aporte sugerido</t>
  </si>
  <si>
    <t>Projeção mensal — férias</t>
  </si>
  <si>
    <t>Percentual Sugerido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</si>
</sst>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13" x14ac:knownFonts="1">
    <font>
      <sz val="11"/>
      <color theme="1"/>
      <name val="Aptos Narrow"/>
      <family val="2"/>
      <scheme val="minor"/>
    </font>
    <font>
      <b/>
      <sz val="12"/>
      <color theme="1"/>
      <name val="Aptos"/>
    </font>
    <font>
      <sz val="10"/>
      <color theme="1"/>
      <name val="Aptos"/>
    </font>
    <font>
      <sz val="10"/>
      <color theme="0"/>
      <name val="Aptos"/>
    </font>
    <font>
      <sz val="10"/>
      <color theme="2" tint="-0.499984740745262"/>
      <name val="Aptos"/>
    </font>
    <font>
      <b/>
      <sz val="10"/>
      <color theme="0"/>
      <name val="Aptos"/>
    </font>
    <font>
      <b/>
      <sz val="10"/>
      <color theme="1"/>
      <name val="Aptos"/>
    </font>
    <font>
      <b/>
      <sz val="10"/>
      <color rgb="FFFFFFFF"/>
      <name val="Aptos"/>
    </font>
    <font>
      <b/>
      <sz val="14"/>
      <color rgb="FFFFFFFF"/>
      <name val="Aptos"/>
    </font>
    <font>
      <sz val="10"/>
      <color rgb="FF1F2937"/>
      <name val="Aptos"/>
    </font>
    <font>
      <b/>
      <sz val="10"/>
      <color rgb="FF1F2937"/>
      <name val="Aptos"/>
    </font>
    <font>
      <b/>
      <sz val="12"/>
      <color rgb="FF1F2937"/>
      <name val="Aptos"/>
    </font>
    <font>
      <b/>
      <sz val="16"/>
      <color rgb="FFFFFFFF"/>
      <name val="Aptos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17365D"/>
        <bgColor indexed="64"/>
      </patternFill>
    </fill>
    <fill>
      <patternFill patternType="solid">
        <fgColor rgb="FF0F6B78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8E8E8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theme="0" tint="-0.24994659260841701"/>
      </right>
      <top/>
      <bottom style="medium">
        <color theme="0" tint="-0.24994659260841701"/>
      </bottom>
      <diagonal/>
    </border>
    <border>
      <left style="medium">
        <color theme="0" tint="-0.24994659260841701"/>
      </left>
      <right style="medium">
        <color indexed="64"/>
      </right>
      <top/>
      <bottom style="medium">
        <color theme="0" tint="-0.24994659260841701"/>
      </bottom>
      <diagonal/>
    </border>
    <border>
      <left style="medium">
        <color indexed="64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medium">
        <color theme="0" tint="-0.24994659260841701"/>
      </left>
      <right style="medium">
        <color indexed="64"/>
      </right>
      <top style="medium">
        <color theme="0" tint="-0.24994659260841701"/>
      </top>
      <bottom style="medium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/>
      <bottom style="medium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/>
      <top/>
      <bottom style="medium">
        <color theme="2"/>
      </bottom>
      <diagonal/>
    </border>
    <border>
      <left/>
      <right style="medium">
        <color theme="0" tint="-0.24994659260841701"/>
      </right>
      <top/>
      <bottom style="medium">
        <color theme="2"/>
      </bottom>
      <diagonal/>
    </border>
    <border>
      <left style="medium">
        <color indexed="64"/>
      </left>
      <right/>
      <top style="medium">
        <color theme="2"/>
      </top>
      <bottom style="medium">
        <color theme="2"/>
      </bottom>
      <diagonal/>
    </border>
    <border>
      <left/>
      <right style="medium">
        <color theme="0" tint="-0.24994659260841701"/>
      </right>
      <top style="medium">
        <color theme="2"/>
      </top>
      <bottom style="medium">
        <color theme="2"/>
      </bottom>
      <diagonal/>
    </border>
    <border>
      <left/>
      <right style="thin">
        <color theme="0" tint="-0.14996795556505021"/>
      </right>
      <top/>
      <bottom style="medium">
        <color theme="2"/>
      </bottom>
      <diagonal/>
    </border>
    <border>
      <left/>
      <right style="thin">
        <color theme="0" tint="-0.14996795556505021"/>
      </right>
      <top style="medium">
        <color theme="2"/>
      </top>
      <bottom style="medium">
        <color theme="2"/>
      </bottom>
      <diagonal/>
    </border>
    <border>
      <left style="medium">
        <color indexed="64"/>
      </left>
      <right/>
      <top style="medium">
        <color theme="2"/>
      </top>
      <bottom style="medium">
        <color rgb="FFD1D5DB"/>
      </bottom>
      <diagonal/>
    </border>
    <border>
      <left/>
      <right style="thin">
        <color theme="0" tint="-0.14996795556505021"/>
      </right>
      <top style="medium">
        <color theme="2"/>
      </top>
      <bottom style="medium">
        <color rgb="FFD1D5DB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medium">
        <color rgb="FFD1D5DB"/>
      </bottom>
      <diagonal/>
    </border>
    <border>
      <left/>
      <right style="medium">
        <color theme="0" tint="-0.24994659260841701"/>
      </right>
      <top style="medium">
        <color theme="2"/>
      </top>
      <bottom style="medium">
        <color rgb="FFD1D5DB"/>
      </bottom>
      <diagonal/>
    </border>
    <border>
      <left style="medium">
        <color theme="0" tint="-0.24994659260841701"/>
      </left>
      <right style="medium">
        <color indexed="64"/>
      </right>
      <top style="medium">
        <color theme="0" tint="-0.24994659260841701"/>
      </top>
      <bottom style="medium">
        <color rgb="FFD1D5DB"/>
      </bottom>
      <diagonal/>
    </border>
    <border>
      <left/>
      <right/>
      <top/>
      <bottom style="medium">
        <color rgb="FFD1D5DB"/>
      </bottom>
      <diagonal/>
    </border>
    <border>
      <left style="medium">
        <color indexed="64"/>
      </left>
      <right style="medium">
        <color theme="0" tint="-0.24994659260841701"/>
      </right>
      <top style="medium">
        <color theme="0" tint="-0.24994659260841701"/>
      </top>
      <bottom style="medium">
        <color rgb="FFD1D5DB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rgb="FFD1D5DB"/>
      </bottom>
      <diagonal/>
    </border>
    <border>
      <left style="medium">
        <color theme="0" tint="-0.24994659260841701"/>
      </left>
      <right style="medium">
        <color indexed="64"/>
      </right>
      <top/>
      <bottom style="medium">
        <color rgb="FFD1D5DB"/>
      </bottom>
      <diagonal/>
    </border>
    <border>
      <left/>
      <right/>
      <top/>
      <bottom style="thin">
        <color rgb="FFD1D5DB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/>
    </xf>
    <xf numFmtId="10" fontId="0" fillId="0" borderId="0" xfId="0" applyNumberFormat="1"/>
    <xf numFmtId="0" fontId="0" fillId="0" borderId="4" xfId="0" applyBorder="1"/>
    <xf numFmtId="0" fontId="0" fillId="0" borderId="4" xfId="0" applyBorder="1" applyAlignment="1">
      <alignment horizontal="center"/>
    </xf>
    <xf numFmtId="10" fontId="0" fillId="0" borderId="4" xfId="0" applyNumberFormat="1" applyBorder="1"/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30" xfId="0" applyFont="1" applyFill="1" applyBorder="1" applyAlignment="1">
      <alignment vertical="center"/>
    </xf>
    <xf numFmtId="0" fontId="7" fillId="7" borderId="0" xfId="0" applyFont="1" applyFill="1" applyBorder="1" applyAlignment="1">
      <alignment horizontal="center" vertical="center"/>
    </xf>
    <xf numFmtId="0" fontId="2" fillId="0" borderId="0" xfId="0" applyFont="1" applyAlignment="1" applyProtection="1">
      <alignment vertical="center"/>
    </xf>
    <xf numFmtId="0" fontId="8" fillId="6" borderId="5" xfId="0" applyFont="1" applyFill="1" applyBorder="1" applyAlignment="1" applyProtection="1">
      <alignment horizontal="center" vertical="center"/>
    </xf>
    <xf numFmtId="0" fontId="8" fillId="6" borderId="1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8" fillId="6" borderId="0" xfId="0" applyFont="1" applyFill="1" applyAlignment="1" applyProtection="1">
      <alignment vertical="center"/>
    </xf>
    <xf numFmtId="0" fontId="4" fillId="0" borderId="15" xfId="0" applyFont="1" applyBorder="1" applyAlignment="1" applyProtection="1">
      <alignment horizontal="left" vertical="center" indent="3"/>
    </xf>
    <xf numFmtId="0" fontId="4" fillId="0" borderId="19" xfId="0" applyFont="1" applyBorder="1" applyAlignment="1" applyProtection="1">
      <alignment horizontal="left" vertical="center" indent="3"/>
    </xf>
    <xf numFmtId="0" fontId="2" fillId="0" borderId="0" xfId="0" applyFont="1" applyBorder="1" applyAlignment="1" applyProtection="1">
      <alignment vertical="center"/>
    </xf>
    <xf numFmtId="0" fontId="4" fillId="0" borderId="17" xfId="0" applyFont="1" applyBorder="1" applyAlignment="1" applyProtection="1">
      <alignment horizontal="left" vertical="center" indent="3"/>
    </xf>
    <xf numFmtId="0" fontId="4" fillId="0" borderId="20" xfId="0" applyFont="1" applyBorder="1" applyAlignment="1" applyProtection="1">
      <alignment horizontal="left" vertical="center" indent="3"/>
    </xf>
    <xf numFmtId="0" fontId="9" fillId="10" borderId="0" xfId="0" applyFont="1" applyFill="1" applyBorder="1" applyAlignment="1" applyProtection="1">
      <alignment vertical="center"/>
    </xf>
    <xf numFmtId="0" fontId="4" fillId="0" borderId="21" xfId="0" applyFont="1" applyBorder="1" applyAlignment="1" applyProtection="1">
      <alignment horizontal="left" vertical="center" indent="3"/>
    </xf>
    <xf numFmtId="0" fontId="4" fillId="0" borderId="22" xfId="0" applyFont="1" applyBorder="1" applyAlignment="1" applyProtection="1">
      <alignment horizontal="left" vertical="center" indent="3"/>
    </xf>
    <xf numFmtId="10" fontId="9" fillId="10" borderId="0" xfId="0" applyNumberFormat="1" applyFont="1" applyFill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0" fontId="2" fillId="0" borderId="0" xfId="0" applyFont="1" applyFill="1" applyBorder="1" applyAlignment="1" applyProtection="1">
      <alignment vertical="center"/>
    </xf>
    <xf numFmtId="0" fontId="8" fillId="6" borderId="6" xfId="0" applyFont="1" applyFill="1" applyBorder="1" applyAlignment="1" applyProtection="1">
      <alignment horizontal="center" vertical="center"/>
    </xf>
    <xf numFmtId="0" fontId="8" fillId="6" borderId="0" xfId="0" applyFont="1" applyFill="1" applyAlignment="1" applyProtection="1">
      <alignment horizontal="center" vertical="center"/>
    </xf>
    <xf numFmtId="0" fontId="8" fillId="6" borderId="3" xfId="0" applyFont="1" applyFill="1" applyBorder="1" applyAlignment="1" applyProtection="1">
      <alignment horizontal="center" vertical="center"/>
    </xf>
    <xf numFmtId="0" fontId="2" fillId="0" borderId="15" xfId="0" applyFont="1" applyBorder="1" applyAlignment="1" applyProtection="1">
      <alignment horizontal="left" vertical="center" indent="3"/>
    </xf>
    <xf numFmtId="0" fontId="2" fillId="0" borderId="16" xfId="0" applyFont="1" applyBorder="1" applyAlignment="1" applyProtection="1">
      <alignment horizontal="left" vertical="center" indent="3"/>
    </xf>
    <xf numFmtId="0" fontId="2" fillId="0" borderId="30" xfId="0" applyFont="1" applyFill="1" applyBorder="1" applyAlignment="1" applyProtection="1">
      <alignment vertical="center"/>
    </xf>
    <xf numFmtId="0" fontId="2" fillId="0" borderId="17" xfId="0" applyFont="1" applyBorder="1" applyAlignment="1" applyProtection="1">
      <alignment horizontal="left" vertical="center" indent="3"/>
    </xf>
    <xf numFmtId="0" fontId="2" fillId="0" borderId="18" xfId="0" applyFont="1" applyBorder="1" applyAlignment="1" applyProtection="1">
      <alignment horizontal="left" vertical="center" indent="3"/>
    </xf>
    <xf numFmtId="0" fontId="7" fillId="7" borderId="0" xfId="0" applyFont="1" applyFill="1" applyBorder="1" applyAlignment="1" applyProtection="1">
      <alignment horizontal="center" vertical="center"/>
    </xf>
    <xf numFmtId="0" fontId="6" fillId="2" borderId="17" xfId="0" applyFont="1" applyFill="1" applyBorder="1" applyAlignment="1" applyProtection="1">
      <alignment horizontal="left" vertical="center" indent="3"/>
    </xf>
    <xf numFmtId="0" fontId="6" fillId="2" borderId="18" xfId="0" applyFont="1" applyFill="1" applyBorder="1" applyAlignment="1" applyProtection="1">
      <alignment horizontal="left" vertical="center" indent="3"/>
    </xf>
    <xf numFmtId="0" fontId="6" fillId="2" borderId="21" xfId="0" applyFont="1" applyFill="1" applyBorder="1" applyAlignment="1" applyProtection="1">
      <alignment horizontal="left" vertical="center" indent="3"/>
    </xf>
    <xf numFmtId="0" fontId="6" fillId="2" borderId="24" xfId="0" applyFont="1" applyFill="1" applyBorder="1" applyAlignment="1" applyProtection="1">
      <alignment horizontal="left" vertical="center" indent="3"/>
    </xf>
    <xf numFmtId="0" fontId="8" fillId="6" borderId="5" xfId="0" applyFont="1" applyFill="1" applyBorder="1" applyAlignment="1" applyProtection="1">
      <alignment horizontal="left" vertical="center"/>
    </xf>
    <xf numFmtId="0" fontId="8" fillId="6" borderId="1" xfId="0" applyFont="1" applyFill="1" applyBorder="1" applyAlignment="1" applyProtection="1">
      <alignment horizontal="left" vertical="center"/>
    </xf>
    <xf numFmtId="0" fontId="8" fillId="6" borderId="2" xfId="0" applyFont="1" applyFill="1" applyBorder="1" applyAlignment="1" applyProtection="1">
      <alignment horizontal="left" vertical="center"/>
    </xf>
    <xf numFmtId="0" fontId="3" fillId="0" borderId="0" xfId="0" applyFont="1" applyBorder="1" applyAlignment="1" applyProtection="1">
      <alignment vertical="center"/>
    </xf>
    <xf numFmtId="0" fontId="2" fillId="0" borderId="7" xfId="0" applyFont="1" applyBorder="1" applyAlignment="1" applyProtection="1">
      <alignment horizontal="left" vertical="center" indent="3"/>
    </xf>
    <xf numFmtId="0" fontId="2" fillId="0" borderId="30" xfId="0" applyFont="1" applyBorder="1" applyAlignment="1" applyProtection="1">
      <alignment vertical="center"/>
    </xf>
    <xf numFmtId="0" fontId="2" fillId="0" borderId="9" xfId="0" applyFont="1" applyBorder="1" applyAlignment="1" applyProtection="1">
      <alignment horizontal="left" vertical="center" indent="3"/>
    </xf>
    <xf numFmtId="0" fontId="3" fillId="0" borderId="26" xfId="0" applyFont="1" applyBorder="1" applyAlignment="1" applyProtection="1">
      <alignment vertical="center"/>
    </xf>
    <xf numFmtId="0" fontId="2" fillId="0" borderId="27" xfId="0" applyFont="1" applyBorder="1" applyAlignment="1" applyProtection="1">
      <alignment horizontal="left" vertical="center" indent="3"/>
    </xf>
    <xf numFmtId="0" fontId="6" fillId="8" borderId="0" xfId="0" applyFont="1" applyFill="1" applyBorder="1" applyAlignment="1" applyProtection="1">
      <alignment horizontal="center" vertical="center"/>
    </xf>
    <xf numFmtId="0" fontId="2" fillId="3" borderId="0" xfId="0" applyFont="1" applyFill="1" applyBorder="1" applyAlignment="1" applyProtection="1">
      <alignment vertical="center"/>
    </xf>
    <xf numFmtId="0" fontId="6" fillId="8" borderId="0" xfId="0" applyFont="1" applyFill="1" applyBorder="1" applyAlignment="1" applyProtection="1">
      <alignment horizontal="left" vertical="center" indent="3"/>
    </xf>
    <xf numFmtId="0" fontId="2" fillId="4" borderId="0" xfId="0" applyFont="1" applyFill="1" applyBorder="1" applyAlignment="1" applyProtection="1">
      <alignment vertical="center"/>
    </xf>
    <xf numFmtId="0" fontId="2" fillId="0" borderId="0" xfId="0" applyFont="1" applyBorder="1" applyAlignment="1" applyProtection="1">
      <alignment horizontal="center" vertical="center"/>
    </xf>
    <xf numFmtId="0" fontId="5" fillId="5" borderId="30" xfId="0" applyFont="1" applyFill="1" applyBorder="1" applyAlignment="1" applyProtection="1">
      <alignment vertical="center"/>
    </xf>
    <xf numFmtId="0" fontId="10" fillId="10" borderId="30" xfId="0" applyFont="1" applyFill="1" applyBorder="1" applyAlignment="1" applyProtection="1">
      <alignment vertical="center"/>
    </xf>
    <xf numFmtId="10" fontId="10" fillId="9" borderId="14" xfId="0" applyNumberFormat="1" applyFont="1" applyFill="1" applyBorder="1" applyAlignment="1" applyProtection="1">
      <alignment horizontal="center" vertical="center"/>
      <protection locked="0"/>
    </xf>
    <xf numFmtId="0" fontId="10" fillId="9" borderId="10" xfId="0" applyFont="1" applyFill="1" applyBorder="1" applyAlignment="1" applyProtection="1">
      <alignment horizontal="center" vertical="center"/>
      <protection locked="0"/>
    </xf>
    <xf numFmtId="10" fontId="10" fillId="9" borderId="10" xfId="0" applyNumberFormat="1" applyFont="1" applyFill="1" applyBorder="1" applyAlignment="1" applyProtection="1">
      <alignment horizontal="center" vertical="center"/>
      <protection locked="0"/>
    </xf>
    <xf numFmtId="0" fontId="2" fillId="9" borderId="0" xfId="0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/>
    <xf numFmtId="164" fontId="10" fillId="9" borderId="13" xfId="0" applyNumberFormat="1" applyFont="1" applyFill="1" applyBorder="1" applyAlignment="1" applyProtection="1">
      <alignment horizontal="center" vertical="center"/>
      <protection locked="0"/>
    </xf>
    <xf numFmtId="164" fontId="9" fillId="10" borderId="23" xfId="0" applyNumberFormat="1" applyFont="1" applyFill="1" applyBorder="1" applyAlignment="1" applyProtection="1">
      <alignment horizontal="center" vertical="center"/>
    </xf>
    <xf numFmtId="164" fontId="10" fillId="9" borderId="8" xfId="0" applyNumberFormat="1" applyFont="1" applyFill="1" applyBorder="1" applyAlignment="1" applyProtection="1">
      <alignment horizontal="center" vertical="center"/>
      <protection locked="0"/>
    </xf>
    <xf numFmtId="164" fontId="11" fillId="10" borderId="10" xfId="0" applyNumberFormat="1" applyFont="1" applyFill="1" applyBorder="1" applyAlignment="1" applyProtection="1">
      <alignment horizontal="center" vertical="center"/>
    </xf>
    <xf numFmtId="164" fontId="11" fillId="10" borderId="25" xfId="0" applyNumberFormat="1" applyFont="1" applyFill="1" applyBorder="1" applyAlignment="1" applyProtection="1">
      <alignment horizontal="center" vertical="center"/>
    </xf>
    <xf numFmtId="164" fontId="9" fillId="10" borderId="11" xfId="0" applyNumberFormat="1" applyFont="1" applyFill="1" applyBorder="1" applyAlignment="1" applyProtection="1">
      <alignment horizontal="center" vertical="center"/>
    </xf>
    <xf numFmtId="164" fontId="9" fillId="10" borderId="8" xfId="0" applyNumberFormat="1" applyFont="1" applyFill="1" applyBorder="1" applyAlignment="1" applyProtection="1">
      <alignment horizontal="center" vertical="center"/>
    </xf>
    <xf numFmtId="164" fontId="9" fillId="10" borderId="12" xfId="0" applyNumberFormat="1" applyFont="1" applyFill="1" applyBorder="1" applyAlignment="1" applyProtection="1">
      <alignment horizontal="center" vertical="center"/>
    </xf>
    <xf numFmtId="164" fontId="9" fillId="10" borderId="28" xfId="0" applyNumberFormat="1" applyFont="1" applyFill="1" applyBorder="1" applyAlignment="1" applyProtection="1">
      <alignment horizontal="center" vertical="center"/>
    </xf>
    <xf numFmtId="164" fontId="9" fillId="10" borderId="29" xfId="0" applyNumberFormat="1" applyFont="1" applyFill="1" applyBorder="1" applyAlignment="1" applyProtection="1">
      <alignment horizontal="center" vertical="center"/>
    </xf>
    <xf numFmtId="164" fontId="10" fillId="10" borderId="0" xfId="0" applyNumberFormat="1" applyFont="1" applyFill="1" applyBorder="1" applyAlignment="1" applyProtection="1">
      <alignment horizontal="center" vertical="center"/>
    </xf>
    <xf numFmtId="164" fontId="9" fillId="10" borderId="0" xfId="0" applyNumberFormat="1" applyFont="1" applyFill="1" applyBorder="1" applyAlignment="1" applyProtection="1">
      <alignment vertical="center"/>
    </xf>
    <xf numFmtId="164" fontId="10" fillId="10" borderId="30" xfId="0" applyNumberFormat="1" applyFont="1" applyFill="1" applyBorder="1" applyAlignment="1" applyProtection="1">
      <alignment vertical="center"/>
    </xf>
    <xf numFmtId="164" fontId="11" fillId="10" borderId="0" xfId="0" applyNumberFormat="1" applyFont="1" applyFill="1" applyBorder="1" applyAlignment="1" applyProtection="1">
      <alignment vertical="center"/>
    </xf>
    <xf numFmtId="164" fontId="11" fillId="10" borderId="30" xfId="0" applyNumberFormat="1" applyFont="1" applyFill="1" applyBorder="1" applyAlignment="1" applyProtection="1">
      <alignment vertical="center"/>
    </xf>
    <xf numFmtId="164" fontId="9" fillId="10" borderId="30" xfId="0" applyNumberFormat="1" applyFont="1" applyFill="1" applyBorder="1" applyAlignment="1" applyProtection="1">
      <alignment vertical="center"/>
    </xf>
    <xf numFmtId="164" fontId="0" fillId="0" borderId="0" xfId="0" applyNumberFormat="1" applyProtection="1"/>
    <xf numFmtId="0" fontId="12" fillId="6" borderId="0" xfId="0" applyFont="1" applyFill="1" applyAlignment="1">
      <alignment horizontal="center" vertical="center"/>
    </xf>
    <xf numFmtId="164" fontId="6" fillId="9" borderId="0" xfId="0" applyNumberFormat="1" applyFont="1" applyFill="1" applyBorder="1" applyAlignment="1">
      <alignment vertical="center"/>
    </xf>
    <xf numFmtId="0" fontId="6" fillId="9" borderId="0" xfId="0" applyFont="1" applyFill="1" applyBorder="1" applyAlignment="1">
      <alignment vertical="center"/>
    </xf>
    <xf numFmtId="10" fontId="6" fillId="9" borderId="30" xfId="0" applyNumberFormat="1" applyFont="1" applyFill="1" applyBorder="1" applyAlignment="1">
      <alignment vertical="center"/>
    </xf>
    <xf numFmtId="164" fontId="1" fillId="10" borderId="0" xfId="0" applyNumberFormat="1" applyFont="1" applyFill="1" applyBorder="1" applyAlignment="1">
      <alignment vertical="center"/>
    </xf>
    <xf numFmtId="164" fontId="1" fillId="10" borderId="30" xfId="0" applyNumberFormat="1" applyFont="1" applyFill="1" applyBorder="1" applyAlignment="1">
      <alignment vertical="center"/>
    </xf>
    <xf numFmtId="0" fontId="2" fillId="10" borderId="0" xfId="0" applyFont="1" applyFill="1" applyBorder="1" applyAlignment="1">
      <alignment vertical="center"/>
    </xf>
    <xf numFmtId="164" fontId="2" fillId="10" borderId="0" xfId="0" applyNumberFormat="1" applyFont="1" applyFill="1" applyBorder="1" applyAlignment="1">
      <alignment vertical="center"/>
    </xf>
    <xf numFmtId="0" fontId="2" fillId="10" borderId="30" xfId="0" applyFont="1" applyFill="1" applyBorder="1" applyAlignment="1">
      <alignment vertical="center"/>
    </xf>
    <xf numFmtId="164" fontId="2" fillId="10" borderId="30" xfId="0" applyNumberFormat="1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Divisão do aporte por perfil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'Apoio Projeções'!$O$1</c:f>
              <c:strCache>
                <c:ptCount val="1"/>
                <c:pt idx="0">
                  <c:v>Valor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'Apoio Projeções'!$N$2:$N$7</c:f>
              <c:strCache>
                <c:ptCount val="6"/>
                <c:pt idx="0">
                  <c:v>PAPEL</c:v>
                </c:pt>
                <c:pt idx="1">
                  <c:v>TIJOLO</c:v>
                </c:pt>
                <c:pt idx="2">
                  <c:v>HIBRIDOS</c:v>
                </c:pt>
                <c:pt idx="3">
                  <c:v>FOF's</c:v>
                </c:pt>
                <c:pt idx="4">
                  <c:v>DESENVOLVIMENTO</c:v>
                </c:pt>
                <c:pt idx="5">
                  <c:v>HOTELARIAS</c:v>
                </c:pt>
              </c:strCache>
            </c:strRef>
          </c:cat>
          <c:val>
            <c:numRef>
              <c:f>'Apoio Projeções'!$O$2:$O$7</c:f>
              <c:numCache>
                <c:formatCode>"R$"\ #,##0.00</c:formatCode>
                <c:ptCount val="6"/>
                <c:pt idx="0">
                  <c:v>60</c:v>
                </c:pt>
                <c:pt idx="1">
                  <c:v>100</c:v>
                </c:pt>
                <c:pt idx="2">
                  <c:v>20</c:v>
                </c:pt>
                <c:pt idx="3">
                  <c:v>20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A-4A96-B21F-EDED5B1D8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0</xdr:row>
      <xdr:rowOff>150237</xdr:rowOff>
    </xdr:from>
    <xdr:to>
      <xdr:col>8</xdr:col>
      <xdr:colOff>1276349</xdr:colOff>
      <xdr:row>11</xdr:row>
      <xdr:rowOff>123825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6C8DDD7-29FE-3B35-4806-2B45FB6B8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" y="150237"/>
          <a:ext cx="9686924" cy="2069088"/>
        </a:xfrm>
        <a:prstGeom prst="rect">
          <a:avLst/>
        </a:prstGeom>
        <a:ln w="127000" cap="sq">
          <a:solidFill>
            <a:srgbClr val="000000"/>
          </a:solidFill>
          <a:miter lim="800000"/>
        </a:ln>
        <a:effectLst>
          <a:outerShdw blurRad="57150" dist="50800" dir="2700000" algn="tl" rotWithShape="0">
            <a:srgbClr val="000000">
              <a:alpha val="40000"/>
            </a:srgbClr>
          </a:outerShdw>
        </a:effectLst>
      </xdr:spPr>
    </xdr:pic>
    <xdr:clientData/>
  </xdr:twoCellAnchor>
  <xdr:twoCellAnchor>
    <xdr:from>
      <xdr:col>1</xdr:col>
      <xdr:colOff>19049</xdr:colOff>
      <xdr:row>42</xdr:row>
      <xdr:rowOff>95250</xdr:rowOff>
    </xdr:from>
    <xdr:to>
      <xdr:col>3</xdr:col>
      <xdr:colOff>1314449</xdr:colOff>
      <xdr:row>53</xdr:row>
      <xdr:rowOff>133350</xdr:rowOff>
    </xdr:to>
    <xdr:graphicFrame macro="">
      <xdr:nvGraphicFramePr>
        <xdr:cNvPr id="2" name="Divisão do Aporte por Perfil">
          <a:extLst>
            <a:ext uri="{FF2B5EF4-FFF2-40B4-BE49-F238E27FC236}">
              <a16:creationId xmlns:a16="http://schemas.microsoft.com/office/drawing/2014/main" id="{F8522ED7-E9CA-581E-18CB-531A7EDC43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823F5-73AE-43F1-AC98-2F9B95A7DD29}">
  <dimension ref="A1:P90"/>
  <sheetViews>
    <sheetView showGridLines="0" showRowColHeaders="0" tabSelected="1" workbookViewId="0">
      <selection activeCell="D20" sqref="D20"/>
    </sheetView>
  </sheetViews>
  <sheetFormatPr defaultColWidth="0" defaultRowHeight="15" x14ac:dyDescent="0.25"/>
  <cols>
    <col min="1" max="1" width="6.7109375" customWidth="1"/>
    <col min="2" max="2" width="30.42578125" customWidth="1"/>
    <col min="3" max="4" width="20" customWidth="1"/>
    <col min="5" max="5" width="3" customWidth="1"/>
    <col min="6" max="6" width="14.85546875" customWidth="1"/>
    <col min="7" max="9" width="20" customWidth="1"/>
    <col min="10" max="11" width="3.42578125" customWidth="1"/>
    <col min="12" max="12" width="10.42578125" customWidth="1"/>
    <col min="13" max="15" width="18.140625" customWidth="1"/>
    <col min="16" max="16" width="20" customWidth="1"/>
    <col min="17" max="16384" width="9.140625" hidden="1"/>
  </cols>
  <sheetData>
    <row r="1" spans="1:16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</row>
    <row r="2" spans="1:16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</row>
    <row r="3" spans="1:16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</row>
    <row r="4" spans="1:16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</row>
    <row r="5" spans="1:16" x14ac:dyDescent="0.25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6" spans="1:16" x14ac:dyDescent="0.25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</row>
    <row r="7" spans="1:16" x14ac:dyDescent="0.25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</row>
    <row r="8" spans="1:16" x14ac:dyDescent="0.25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</row>
    <row r="9" spans="1:16" x14ac:dyDescent="0.25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</row>
    <row r="10" spans="1:16" x14ac:dyDescent="0.25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</row>
    <row r="11" spans="1:16" x14ac:dyDescent="0.2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</row>
    <row r="12" spans="1:16" x14ac:dyDescent="0.25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</row>
    <row r="13" spans="1:16" ht="13.5" customHeight="1" thickBot="1" x14ac:dyDescent="0.3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</row>
    <row r="14" spans="1:16" ht="27.95" customHeight="1" x14ac:dyDescent="0.25">
      <c r="A14" s="11"/>
      <c r="B14" s="12" t="s">
        <v>13</v>
      </c>
      <c r="C14" s="13"/>
      <c r="D14" s="14"/>
      <c r="E14" s="11"/>
      <c r="F14" s="15" t="s">
        <v>33</v>
      </c>
      <c r="G14" s="15"/>
      <c r="H14" s="15"/>
      <c r="I14" s="15"/>
      <c r="J14" s="11"/>
      <c r="K14" s="11"/>
    </row>
    <row r="15" spans="1:16" ht="21" customHeight="1" thickBot="1" x14ac:dyDescent="0.3">
      <c r="A15" s="11"/>
      <c r="B15" s="16" t="s">
        <v>15</v>
      </c>
      <c r="C15" s="17"/>
      <c r="D15" s="62">
        <v>3000</v>
      </c>
      <c r="E15" s="11"/>
      <c r="F15" s="18" t="s">
        <v>34</v>
      </c>
      <c r="G15" s="18"/>
      <c r="H15" s="18"/>
      <c r="I15" s="73">
        <f>aporte_sugerido</f>
        <v>900</v>
      </c>
      <c r="J15" s="11"/>
      <c r="K15" s="11"/>
    </row>
    <row r="16" spans="1:16" ht="21" customHeight="1" thickBot="1" x14ac:dyDescent="0.3">
      <c r="A16" s="11"/>
      <c r="B16" s="19" t="s">
        <v>14</v>
      </c>
      <c r="C16" s="20"/>
      <c r="D16" s="56">
        <v>6.0000000000000001E-3</v>
      </c>
      <c r="E16" s="11"/>
      <c r="F16" s="18" t="s">
        <v>35</v>
      </c>
      <c r="G16" s="18"/>
      <c r="H16" s="18"/>
      <c r="I16" s="21">
        <f>anos</f>
        <v>10</v>
      </c>
      <c r="J16" s="11"/>
      <c r="K16" s="11"/>
    </row>
    <row r="17" spans="1:11" ht="21" customHeight="1" thickBot="1" x14ac:dyDescent="0.3">
      <c r="A17" s="11"/>
      <c r="B17" s="22" t="s">
        <v>16</v>
      </c>
      <c r="C17" s="23"/>
      <c r="D17" s="63">
        <f>salario*30%</f>
        <v>900</v>
      </c>
      <c r="E17" s="11"/>
      <c r="F17" s="18" t="s">
        <v>36</v>
      </c>
      <c r="G17" s="18"/>
      <c r="H17" s="18"/>
      <c r="I17" s="24">
        <f>taxa_mensal</f>
        <v>1.0789999999999999E-2</v>
      </c>
      <c r="J17" s="11"/>
      <c r="K17" s="11"/>
    </row>
    <row r="18" spans="1:11" ht="21" customHeight="1" x14ac:dyDescent="0.25">
      <c r="A18" s="11"/>
      <c r="B18" s="11"/>
      <c r="C18" s="11"/>
      <c r="D18" s="11"/>
      <c r="E18" s="11"/>
      <c r="F18" s="25"/>
      <c r="G18" s="25"/>
      <c r="H18" s="25"/>
      <c r="I18" s="25"/>
      <c r="J18" s="11"/>
      <c r="K18" s="11"/>
    </row>
    <row r="19" spans="1:11" ht="27.95" customHeight="1" x14ac:dyDescent="0.25">
      <c r="A19" s="11"/>
      <c r="B19" s="27" t="s">
        <v>5</v>
      </c>
      <c r="C19" s="28"/>
      <c r="D19" s="29"/>
      <c r="E19" s="11"/>
      <c r="F19" s="26" t="s">
        <v>37</v>
      </c>
      <c r="G19" s="26"/>
      <c r="H19" s="26"/>
      <c r="I19" s="75">
        <f>FV(taxa_mensal,anos*12,-aporte_sugerido)</f>
        <v>218955.79127715499</v>
      </c>
      <c r="J19" s="11"/>
      <c r="K19" s="11"/>
    </row>
    <row r="20" spans="1:11" ht="21" customHeight="1" thickBot="1" x14ac:dyDescent="0.3">
      <c r="A20" s="11"/>
      <c r="B20" s="30" t="s">
        <v>0</v>
      </c>
      <c r="C20" s="31"/>
      <c r="D20" s="64">
        <v>200</v>
      </c>
      <c r="E20" s="11"/>
      <c r="F20" s="32" t="s">
        <v>38</v>
      </c>
      <c r="G20" s="32"/>
      <c r="H20" s="32"/>
      <c r="I20" s="76">
        <f>I19*rendimento_carteira</f>
        <v>1313.73474766293</v>
      </c>
      <c r="J20" s="11"/>
      <c r="K20" s="11"/>
    </row>
    <row r="21" spans="1:11" ht="21" customHeight="1" thickBot="1" x14ac:dyDescent="0.3">
      <c r="A21" s="11"/>
      <c r="B21" s="33" t="s">
        <v>1</v>
      </c>
      <c r="C21" s="34"/>
      <c r="D21" s="57">
        <v>10</v>
      </c>
      <c r="E21" s="11"/>
      <c r="F21" s="11"/>
      <c r="G21" s="11"/>
      <c r="H21" s="11"/>
      <c r="I21" s="11"/>
      <c r="J21" s="11"/>
      <c r="K21" s="11"/>
    </row>
    <row r="22" spans="1:11" ht="23.1" customHeight="1" thickBot="1" x14ac:dyDescent="0.3">
      <c r="A22" s="11"/>
      <c r="B22" s="33" t="s">
        <v>2</v>
      </c>
      <c r="C22" s="34"/>
      <c r="D22" s="58">
        <v>1.0789999999999999E-2</v>
      </c>
      <c r="E22" s="11"/>
      <c r="F22" s="35" t="s">
        <v>39</v>
      </c>
      <c r="G22" s="35" t="s">
        <v>40</v>
      </c>
      <c r="H22" s="35" t="s">
        <v>41</v>
      </c>
      <c r="I22" s="11"/>
      <c r="J22" s="11"/>
      <c r="K22" s="11"/>
    </row>
    <row r="23" spans="1:11" ht="21" customHeight="1" thickBot="1" x14ac:dyDescent="0.3">
      <c r="A23" s="11"/>
      <c r="B23" s="36" t="s">
        <v>3</v>
      </c>
      <c r="C23" s="37"/>
      <c r="D23" s="65">
        <f>FV(taxa_mensal,anos*12,-aporte)</f>
        <v>48656.842506034438</v>
      </c>
      <c r="E23" s="11"/>
      <c r="F23" s="25">
        <v>2</v>
      </c>
      <c r="G23" s="73" cm="1">
        <f t="array" ref="G23">INDEX(patrimonio_sugerido,ROW()-22)</f>
        <v>24504.864567880697</v>
      </c>
      <c r="H23" s="73" cm="1">
        <f t="array" ref="H23">INDEX(dividendos_sugerido,ROW()-22)</f>
        <v>147.02918740728418</v>
      </c>
      <c r="I23" s="11"/>
      <c r="J23" s="11"/>
      <c r="K23" s="11"/>
    </row>
    <row r="24" spans="1:11" ht="21" customHeight="1" thickBot="1" x14ac:dyDescent="0.3">
      <c r="A24" s="11"/>
      <c r="B24" s="38" t="s">
        <v>4</v>
      </c>
      <c r="C24" s="39"/>
      <c r="D24" s="66">
        <f>patrimonio_acumulado*rendimento_carteira</f>
        <v>291.94105503620665</v>
      </c>
      <c r="E24" s="11"/>
      <c r="F24" s="25">
        <v>5</v>
      </c>
      <c r="G24" s="73" cm="1">
        <f t="array" ref="G24">INDEX(patrimonio_sugerido,ROW()-22)</f>
        <v>75399.22259863888</v>
      </c>
      <c r="H24" s="73" cm="1">
        <f t="array" ref="H24">INDEX(dividendos_sugerido,ROW()-22)</f>
        <v>452.39533559183332</v>
      </c>
      <c r="I24" s="11"/>
      <c r="J24" s="11"/>
      <c r="K24" s="11"/>
    </row>
    <row r="25" spans="1:11" ht="23.1" customHeight="1" thickBot="1" x14ac:dyDescent="0.3">
      <c r="A25" s="11"/>
      <c r="B25" s="11"/>
      <c r="C25" s="11"/>
      <c r="D25" s="11"/>
      <c r="E25" s="11"/>
      <c r="F25" s="25">
        <v>10</v>
      </c>
      <c r="G25" s="73" cm="1">
        <f t="array" ref="G25">INDEX(patrimonio_sugerido,ROW()-22)</f>
        <v>218955.79127715499</v>
      </c>
      <c r="H25" s="73" cm="1">
        <f t="array" ref="H25">INDEX(dividendos_sugerido,ROW()-22)</f>
        <v>1313.73474766293</v>
      </c>
      <c r="I25" s="11"/>
      <c r="J25" s="11"/>
      <c r="K25" s="11"/>
    </row>
    <row r="26" spans="1:11" ht="27.95" customHeight="1" x14ac:dyDescent="0.25">
      <c r="A26" s="11"/>
      <c r="B26" s="40" t="s">
        <v>11</v>
      </c>
      <c r="C26" s="41"/>
      <c r="D26" s="42" t="s">
        <v>12</v>
      </c>
      <c r="E26" s="11"/>
      <c r="F26" s="25">
        <v>20</v>
      </c>
      <c r="G26" s="73" cm="1">
        <f t="array" ref="G26">INDEX(patrimonio_sugerido,ROW()-22)</f>
        <v>1012678.5600873725</v>
      </c>
      <c r="H26" s="73" cm="1">
        <f t="array" ref="H26">INDEX(dividendos_sugerido,ROW()-22)</f>
        <v>6076.0713605242354</v>
      </c>
      <c r="I26" s="11"/>
      <c r="J26" s="11"/>
      <c r="K26" s="11"/>
    </row>
    <row r="27" spans="1:11" ht="21" customHeight="1" thickBot="1" x14ac:dyDescent="0.3">
      <c r="A27" s="43">
        <v>2</v>
      </c>
      <c r="B27" s="44" t="s">
        <v>6</v>
      </c>
      <c r="C27" s="67" cm="1">
        <f t="array" ref="C27">INDEX(patrimonio_aporte,ROW()-26)</f>
        <v>5445.5254595290435</v>
      </c>
      <c r="D27" s="68" cm="1">
        <f t="array" ref="D27">INDEX(dividendos_aporte,ROW()-26)</f>
        <v>32.673152757174265</v>
      </c>
      <c r="E27" s="11"/>
      <c r="F27" s="45">
        <v>30</v>
      </c>
      <c r="G27" s="77" cm="1">
        <f t="array" ref="G27">INDEX(patrimonio_sugerido,ROW()-22)</f>
        <v>3889952.689504243</v>
      </c>
      <c r="H27" s="77" cm="1">
        <f t="array" ref="H27">INDEX(dividendos_sugerido,ROW()-22)</f>
        <v>23339.716137025458</v>
      </c>
      <c r="I27" s="11"/>
      <c r="J27" s="11"/>
      <c r="K27" s="11"/>
    </row>
    <row r="28" spans="1:11" ht="21" customHeight="1" thickBot="1" x14ac:dyDescent="0.3">
      <c r="A28" s="43">
        <v>5</v>
      </c>
      <c r="B28" s="46" t="s">
        <v>7</v>
      </c>
      <c r="C28" s="69" cm="1">
        <f t="array" ref="C28">INDEX(patrimonio_aporte,ROW()-26)</f>
        <v>16755.382799697527</v>
      </c>
      <c r="D28" s="68" cm="1">
        <f t="array" ref="D28">INDEX(dividendos_aporte,ROW()-26)</f>
        <v>100.53229679818516</v>
      </c>
      <c r="E28" s="11"/>
      <c r="F28" s="11"/>
      <c r="G28" s="11"/>
      <c r="H28" s="11"/>
      <c r="I28" s="11"/>
      <c r="J28" s="11"/>
      <c r="K28" s="11"/>
    </row>
    <row r="29" spans="1:11" ht="21" customHeight="1" thickBot="1" x14ac:dyDescent="0.3">
      <c r="A29" s="43">
        <v>10</v>
      </c>
      <c r="B29" s="46" t="s">
        <v>8</v>
      </c>
      <c r="C29" s="69" cm="1">
        <f t="array" ref="C29">INDEX(patrimonio_aporte,ROW()-26)</f>
        <v>48656.842506034438</v>
      </c>
      <c r="D29" s="68" cm="1">
        <f t="array" ref="D29">INDEX(dividendos_aporte,ROW()-26)</f>
        <v>291.94105503620665</v>
      </c>
      <c r="E29" s="11"/>
      <c r="F29" s="11"/>
      <c r="G29" s="11"/>
      <c r="H29" s="11"/>
      <c r="I29" s="11"/>
      <c r="J29" s="11"/>
      <c r="K29" s="11"/>
    </row>
    <row r="30" spans="1:11" ht="21" customHeight="1" thickBot="1" x14ac:dyDescent="0.3">
      <c r="A30" s="43">
        <v>20</v>
      </c>
      <c r="B30" s="46" t="s">
        <v>9</v>
      </c>
      <c r="C30" s="69" cm="1">
        <f t="array" ref="C30">INDEX(patrimonio_aporte,ROW()-26)</f>
        <v>225039.68001941612</v>
      </c>
      <c r="D30" s="68" cm="1">
        <f t="array" ref="D30">INDEX(dividendos_aporte,ROW()-26)</f>
        <v>1350.2380801164968</v>
      </c>
      <c r="E30" s="11"/>
      <c r="F30" s="11"/>
      <c r="G30" s="11"/>
      <c r="H30" s="11"/>
      <c r="I30" s="11"/>
      <c r="J30" s="11"/>
      <c r="K30" s="11"/>
    </row>
    <row r="31" spans="1:11" ht="21" customHeight="1" thickBot="1" x14ac:dyDescent="0.3">
      <c r="A31" s="47">
        <v>30</v>
      </c>
      <c r="B31" s="48" t="s">
        <v>10</v>
      </c>
      <c r="C31" s="70" cm="1">
        <f t="array" ref="C31">INDEX(patrimonio_aporte,ROW()-26)</f>
        <v>864433.93100094295</v>
      </c>
      <c r="D31" s="71" cm="1">
        <f t="array" ref="D31">INDEX(dividendos_aporte,ROW()-26)</f>
        <v>5186.6035860056581</v>
      </c>
      <c r="E31" s="11"/>
      <c r="F31" s="11"/>
      <c r="G31" s="11"/>
      <c r="H31" s="11"/>
      <c r="I31" s="11"/>
      <c r="J31" s="11"/>
      <c r="K31" s="11"/>
    </row>
    <row r="32" spans="1:11" ht="21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</row>
    <row r="33" spans="1:11" ht="21" customHeight="1" x14ac:dyDescent="0.25">
      <c r="A33" s="11"/>
      <c r="B33" s="49" t="s">
        <v>20</v>
      </c>
      <c r="C33" s="59" t="s">
        <v>19</v>
      </c>
      <c r="D33" s="50"/>
      <c r="E33" s="11"/>
      <c r="F33" s="11"/>
      <c r="G33" s="11"/>
      <c r="H33" s="11"/>
      <c r="I33" s="11"/>
      <c r="J33" s="11"/>
      <c r="K33" s="11"/>
    </row>
    <row r="34" spans="1:11" ht="21" customHeight="1" x14ac:dyDescent="0.25">
      <c r="A34" s="11"/>
      <c r="B34" s="51" t="s">
        <v>21</v>
      </c>
      <c r="C34" s="72">
        <f>aporte</f>
        <v>200</v>
      </c>
      <c r="D34" s="52"/>
      <c r="E34" s="11"/>
      <c r="F34" s="11"/>
      <c r="G34" s="11"/>
      <c r="H34" s="11"/>
      <c r="I34" s="11"/>
      <c r="J34" s="11"/>
      <c r="K34" s="11"/>
    </row>
    <row r="35" spans="1:11" ht="21" customHeight="1" x14ac:dyDescent="0.25">
      <c r="A35" s="11"/>
      <c r="B35" s="35" t="s">
        <v>22</v>
      </c>
      <c r="C35" s="35" t="s">
        <v>57</v>
      </c>
      <c r="D35" s="35" t="s">
        <v>23</v>
      </c>
      <c r="E35" s="11"/>
      <c r="F35" s="11"/>
      <c r="G35" s="11"/>
      <c r="H35" s="11"/>
      <c r="I35" s="11"/>
      <c r="J35" s="11"/>
      <c r="K35" s="11"/>
    </row>
    <row r="36" spans="1:11" ht="21" customHeight="1" x14ac:dyDescent="0.25">
      <c r="A36" s="11"/>
      <c r="B36" s="53" t="s">
        <v>24</v>
      </c>
      <c r="C36" s="24">
        <f>VLOOKUP(perfil&amp;"-"&amp;B36,tabela_perfis,4,FALSE)</f>
        <v>0.3</v>
      </c>
      <c r="D36" s="73">
        <f>C36*$C$34</f>
        <v>60</v>
      </c>
      <c r="E36" s="11"/>
      <c r="F36" s="11"/>
      <c r="G36" s="11"/>
      <c r="H36" s="11"/>
      <c r="I36" s="11"/>
      <c r="J36" s="11"/>
      <c r="K36" s="11"/>
    </row>
    <row r="37" spans="1:11" ht="21" customHeight="1" x14ac:dyDescent="0.25">
      <c r="A37" s="11"/>
      <c r="B37" s="53" t="s">
        <v>25</v>
      </c>
      <c r="C37" s="24">
        <f>VLOOKUP(perfil&amp;"-"&amp;B37,tabela_perfis,4,FALSE)</f>
        <v>0.5</v>
      </c>
      <c r="D37" s="73">
        <f t="shared" ref="D37:D41" si="0">C37*$C$34</f>
        <v>100</v>
      </c>
      <c r="E37" s="11"/>
      <c r="F37" s="11"/>
      <c r="G37" s="11"/>
      <c r="H37" s="11"/>
      <c r="I37" s="11"/>
      <c r="J37" s="11"/>
      <c r="K37" s="11"/>
    </row>
    <row r="38" spans="1:11" ht="21" customHeight="1" x14ac:dyDescent="0.25">
      <c r="A38" s="11"/>
      <c r="B38" s="53" t="s">
        <v>26</v>
      </c>
      <c r="C38" s="24">
        <f>VLOOKUP(perfil&amp;"-"&amp;B38,tabela_perfis,4,FALSE)</f>
        <v>0.1</v>
      </c>
      <c r="D38" s="73">
        <f t="shared" si="0"/>
        <v>20</v>
      </c>
      <c r="E38" s="11"/>
      <c r="F38" s="11"/>
      <c r="G38" s="11"/>
      <c r="H38" s="11"/>
      <c r="I38" s="11"/>
      <c r="J38" s="11"/>
      <c r="K38" s="11"/>
    </row>
    <row r="39" spans="1:11" ht="21" customHeight="1" x14ac:dyDescent="0.25">
      <c r="A39" s="11"/>
      <c r="B39" s="53" t="s">
        <v>27</v>
      </c>
      <c r="C39" s="24">
        <f>VLOOKUP(perfil&amp;"-"&amp;B39,tabela_perfis,4,FALSE)</f>
        <v>0.1</v>
      </c>
      <c r="D39" s="73">
        <f t="shared" si="0"/>
        <v>20</v>
      </c>
      <c r="E39" s="11"/>
      <c r="F39" s="11"/>
      <c r="G39" s="11"/>
      <c r="H39" s="11"/>
      <c r="I39" s="11"/>
      <c r="J39" s="11"/>
      <c r="K39" s="11"/>
    </row>
    <row r="40" spans="1:11" ht="21" customHeight="1" x14ac:dyDescent="0.25">
      <c r="A40" s="11"/>
      <c r="B40" s="53" t="s">
        <v>28</v>
      </c>
      <c r="C40" s="24">
        <f>VLOOKUP(perfil&amp;"-"&amp;B40,tabela_perfis,4,FALSE)</f>
        <v>0</v>
      </c>
      <c r="D40" s="73">
        <f t="shared" si="0"/>
        <v>0</v>
      </c>
      <c r="E40" s="11"/>
      <c r="F40" s="11"/>
      <c r="G40" s="11"/>
      <c r="H40" s="11"/>
      <c r="I40" s="11"/>
      <c r="J40" s="11"/>
      <c r="K40" s="11"/>
    </row>
    <row r="41" spans="1:11" ht="21" customHeight="1" x14ac:dyDescent="0.25">
      <c r="A41" s="11"/>
      <c r="B41" s="53" t="s">
        <v>29</v>
      </c>
      <c r="C41" s="24">
        <f>VLOOKUP(perfil&amp;"-"&amp;B41,tabela_perfis,4,FALSE)</f>
        <v>0</v>
      </c>
      <c r="D41" s="73">
        <f t="shared" si="0"/>
        <v>0</v>
      </c>
      <c r="E41" s="11"/>
      <c r="F41" s="11"/>
      <c r="G41" s="11"/>
      <c r="H41" s="11"/>
      <c r="I41" s="11"/>
      <c r="J41" s="11"/>
      <c r="K41" s="11"/>
    </row>
    <row r="42" spans="1:11" ht="21" customHeight="1" x14ac:dyDescent="0.25">
      <c r="A42" s="11"/>
      <c r="B42" s="54"/>
      <c r="C42" s="55"/>
      <c r="D42" s="74">
        <f>SUM(D36:D41)</f>
        <v>200</v>
      </c>
      <c r="E42" s="11"/>
      <c r="F42" s="11"/>
      <c r="G42" s="11"/>
      <c r="H42" s="11"/>
      <c r="I42" s="11"/>
      <c r="J42" s="11"/>
      <c r="K42" s="11"/>
    </row>
    <row r="43" spans="1:11" ht="21" customHeight="1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</row>
    <row r="44" spans="1:11" ht="21" customHeight="1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</row>
    <row r="45" spans="1:11" ht="21" customHeight="1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</row>
    <row r="46" spans="1:11" ht="21" customHeight="1" x14ac:dyDescent="0.25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</row>
    <row r="47" spans="1:11" ht="21" customHeight="1" x14ac:dyDescent="0.25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</row>
    <row r="48" spans="1:11" ht="21" customHeight="1" x14ac:dyDescent="0.25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</row>
    <row r="49" spans="1:11" ht="21" customHeight="1" x14ac:dyDescent="0.25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</row>
    <row r="50" spans="1:11" ht="21" customHeight="1" x14ac:dyDescent="0.25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</row>
    <row r="51" spans="1:11" ht="21" customHeight="1" x14ac:dyDescent="0.25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</row>
    <row r="52" spans="1:11" ht="21" customHeight="1" x14ac:dyDescent="0.25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</row>
    <row r="53" spans="1:11" ht="21" customHeight="1" x14ac:dyDescent="0.25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</row>
    <row r="54" spans="1:11" ht="21" customHeight="1" x14ac:dyDescent="0.25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</row>
    <row r="55" spans="1:11" ht="21" customHeight="1" x14ac:dyDescent="0.25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</row>
    <row r="56" spans="1:11" ht="21" customHeight="1" x14ac:dyDescent="0.25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</row>
    <row r="57" spans="1:11" ht="21" customHeight="1" x14ac:dyDescent="0.25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</row>
    <row r="58" spans="1:11" ht="21" customHeight="1" x14ac:dyDescent="0.25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</row>
    <row r="59" spans="1:11" ht="21" customHeight="1" x14ac:dyDescent="0.25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</row>
    <row r="60" spans="1:11" ht="21" customHeight="1" x14ac:dyDescent="0.25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</row>
    <row r="61" spans="1:11" ht="21" customHeight="1" x14ac:dyDescent="0.25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</row>
    <row r="62" spans="1:11" ht="21" customHeight="1" x14ac:dyDescent="0.25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</row>
    <row r="63" spans="1:11" ht="21" customHeight="1" x14ac:dyDescent="0.25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</row>
    <row r="64" spans="1:11" ht="21" customHeight="1" x14ac:dyDescent="0.25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</row>
    <row r="65" spans="1:11" ht="21" customHeight="1" x14ac:dyDescent="0.25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</row>
    <row r="66" spans="1:11" ht="21" customHeight="1" x14ac:dyDescent="0.25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</row>
    <row r="67" spans="1:11" ht="21" customHeight="1" x14ac:dyDescent="0.25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</row>
    <row r="68" spans="1:11" ht="21" customHeight="1" x14ac:dyDescent="0.25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</row>
    <row r="69" spans="1:11" ht="21" customHeight="1" x14ac:dyDescent="0.25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</row>
    <row r="70" spans="1:11" ht="21" customHeight="1" x14ac:dyDescent="0.25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</row>
    <row r="71" spans="1:11" ht="21" customHeight="1" x14ac:dyDescent="0.25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</row>
    <row r="72" spans="1:11" ht="21" customHeight="1" x14ac:dyDescent="0.25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</row>
    <row r="73" spans="1:11" ht="21" customHeight="1" x14ac:dyDescent="0.25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</row>
    <row r="74" spans="1:11" ht="21" customHeight="1" x14ac:dyDescent="0.25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</row>
    <row r="75" spans="1:11" ht="21" customHeight="1" x14ac:dyDescent="0.25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</row>
    <row r="76" spans="1:11" ht="21" customHeight="1" x14ac:dyDescent="0.25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</row>
    <row r="77" spans="1:11" ht="21" customHeight="1" x14ac:dyDescent="0.25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</row>
    <row r="78" spans="1:11" ht="21" customHeight="1" x14ac:dyDescent="0.25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</row>
    <row r="79" spans="1:11" ht="21" customHeight="1" x14ac:dyDescent="0.25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</row>
    <row r="80" spans="1:11" ht="21" customHeight="1" x14ac:dyDescent="0.25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</row>
    <row r="81" spans="1:16" ht="21" customHeight="1" x14ac:dyDescent="0.25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</row>
    <row r="82" spans="1:16" ht="21" customHeight="1" x14ac:dyDescent="0.25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</row>
    <row r="83" spans="1:16" ht="21" customHeight="1" x14ac:dyDescent="0.25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</row>
    <row r="84" spans="1:16" ht="21" customHeight="1" x14ac:dyDescent="0.25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</row>
    <row r="85" spans="1:16" ht="21" customHeight="1" x14ac:dyDescent="0.25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</row>
    <row r="86" spans="1:16" ht="21" customHeight="1" x14ac:dyDescent="0.25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</row>
    <row r="87" spans="1:16" ht="21" customHeight="1" x14ac:dyDescent="0.25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</row>
    <row r="88" spans="1:16" ht="21" customHeight="1" x14ac:dyDescent="0.25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</row>
    <row r="89" spans="1:16" ht="21" customHeight="1" x14ac:dyDescent="0.25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</row>
    <row r="90" spans="1:16" ht="21" customHeight="1" x14ac:dyDescent="0.25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</row>
  </sheetData>
  <mergeCells count="17">
    <mergeCell ref="F20:H20"/>
    <mergeCell ref="F14:I14"/>
    <mergeCell ref="F15:H15"/>
    <mergeCell ref="F16:H16"/>
    <mergeCell ref="F17:H17"/>
    <mergeCell ref="F19:H19"/>
    <mergeCell ref="B15:C15"/>
    <mergeCell ref="B16:C16"/>
    <mergeCell ref="B17:C17"/>
    <mergeCell ref="B14:D14"/>
    <mergeCell ref="B26:C26"/>
    <mergeCell ref="B20:C20"/>
    <mergeCell ref="B21:C21"/>
    <mergeCell ref="B22:C22"/>
    <mergeCell ref="B23:C23"/>
    <mergeCell ref="B24:C24"/>
    <mergeCell ref="B19:D19"/>
  </mergeCells>
  <dataValidations count="1">
    <dataValidation type="list" allowBlank="1" showInputMessage="1" showErrorMessage="1" sqref="C33" xr:uid="{0D4C467D-3DC4-48E8-BF31-DF80F2FAD931}">
      <formula1>"Conservador,Moderado,Agressivo"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7E1E1-E114-4A03-956E-57C66D6798A7}">
  <dimension ref="A1:G80"/>
  <sheetViews>
    <sheetView showGridLines="0" showRowColHeaders="0" workbookViewId="0">
      <selection activeCell="C36" sqref="C36"/>
    </sheetView>
  </sheetViews>
  <sheetFormatPr defaultRowHeight="15" x14ac:dyDescent="0.25"/>
  <cols>
    <col min="1" max="1" width="3.85546875" customWidth="1"/>
    <col min="2" max="2" width="13.28515625" customWidth="1"/>
    <col min="3" max="5" width="19" customWidth="1"/>
    <col min="6" max="6" width="21.85546875" customWidth="1"/>
    <col min="7" max="7" width="3.85546875" customWidth="1"/>
  </cols>
  <sheetData>
    <row r="1" spans="1:7" ht="21.95" customHeight="1" x14ac:dyDescent="0.25">
      <c r="A1" s="6"/>
      <c r="B1" s="6"/>
      <c r="C1" s="6"/>
      <c r="D1" s="6"/>
      <c r="E1" s="6"/>
      <c r="F1" s="6"/>
      <c r="G1" s="6"/>
    </row>
    <row r="2" spans="1:7" ht="21.95" customHeight="1" x14ac:dyDescent="0.25">
      <c r="A2" s="6"/>
      <c r="B2" s="6"/>
      <c r="C2" s="6"/>
      <c r="D2" s="6"/>
      <c r="E2" s="6"/>
      <c r="F2" s="6"/>
      <c r="G2" s="6"/>
    </row>
    <row r="3" spans="1:7" ht="32.1" customHeight="1" x14ac:dyDescent="0.25">
      <c r="A3" s="6"/>
      <c r="B3" s="79" t="s">
        <v>42</v>
      </c>
      <c r="C3" s="79"/>
      <c r="D3" s="79"/>
      <c r="E3" s="79"/>
      <c r="F3" s="79"/>
      <c r="G3" s="6"/>
    </row>
    <row r="4" spans="1:7" ht="21.95" customHeight="1" x14ac:dyDescent="0.25">
      <c r="A4" s="6"/>
      <c r="B4" s="6"/>
      <c r="C4" s="6"/>
      <c r="D4" s="6"/>
      <c r="E4" s="6"/>
      <c r="F4" s="6"/>
      <c r="G4" s="6"/>
    </row>
    <row r="5" spans="1:7" ht="21.95" customHeight="1" x14ac:dyDescent="0.25">
      <c r="A5" s="6"/>
      <c r="B5" s="7" t="s">
        <v>43</v>
      </c>
      <c r="C5" s="7"/>
      <c r="D5" s="7"/>
      <c r="E5" s="7"/>
      <c r="F5" s="80">
        <v>6000</v>
      </c>
      <c r="G5" s="6"/>
    </row>
    <row r="6" spans="1:7" ht="21.95" customHeight="1" x14ac:dyDescent="0.25">
      <c r="A6" s="6"/>
      <c r="B6" s="7" t="s">
        <v>44</v>
      </c>
      <c r="C6" s="7"/>
      <c r="D6" s="7"/>
      <c r="E6" s="7"/>
      <c r="F6" s="80">
        <v>1000</v>
      </c>
      <c r="G6" s="6"/>
    </row>
    <row r="7" spans="1:7" ht="21.95" customHeight="1" x14ac:dyDescent="0.25">
      <c r="A7" s="6"/>
      <c r="B7" s="7" t="s">
        <v>45</v>
      </c>
      <c r="C7" s="7"/>
      <c r="D7" s="7"/>
      <c r="E7" s="7"/>
      <c r="F7" s="81">
        <v>12</v>
      </c>
      <c r="G7" s="6"/>
    </row>
    <row r="8" spans="1:7" ht="21.95" customHeight="1" x14ac:dyDescent="0.25">
      <c r="A8" s="6"/>
      <c r="B8" s="9" t="s">
        <v>46</v>
      </c>
      <c r="C8" s="9"/>
      <c r="D8" s="9"/>
      <c r="E8" s="9"/>
      <c r="F8" s="82">
        <v>6.0000000000000001E-3</v>
      </c>
      <c r="G8" s="6"/>
    </row>
    <row r="9" spans="1:7" ht="21.95" customHeight="1" x14ac:dyDescent="0.25">
      <c r="A9" s="6"/>
      <c r="B9" s="6"/>
      <c r="C9" s="6"/>
      <c r="D9" s="6"/>
      <c r="E9" s="6"/>
      <c r="F9" s="6"/>
      <c r="G9" s="6"/>
    </row>
    <row r="10" spans="1:7" ht="21.95" customHeight="1" x14ac:dyDescent="0.25">
      <c r="A10" s="6"/>
      <c r="B10" s="8" t="s">
        <v>47</v>
      </c>
      <c r="C10" s="8"/>
      <c r="D10" s="8"/>
      <c r="E10" s="8"/>
      <c r="F10" s="83">
        <f>MAX(0,-PMT(ferias_taxa,ferias_meses,-ferias_reserva,ferias_meta,0))</f>
        <v>397.09486714168878</v>
      </c>
      <c r="G10" s="6"/>
    </row>
    <row r="11" spans="1:7" ht="21.95" customHeight="1" x14ac:dyDescent="0.25">
      <c r="A11" s="6"/>
      <c r="B11" s="8" t="s">
        <v>48</v>
      </c>
      <c r="C11" s="8"/>
      <c r="D11" s="8"/>
      <c r="E11" s="8"/>
      <c r="F11" s="83">
        <f>FV(ferias_taxa,ferias_meses,-ferias_aporte,-ferias_reserva,0)</f>
        <v>5999.9999999999936</v>
      </c>
      <c r="G11" s="6"/>
    </row>
    <row r="12" spans="1:7" ht="21.95" customHeight="1" x14ac:dyDescent="0.25">
      <c r="A12" s="6"/>
      <c r="B12" s="9" t="s">
        <v>49</v>
      </c>
      <c r="C12" s="9"/>
      <c r="D12" s="9"/>
      <c r="E12" s="9"/>
      <c r="F12" s="84">
        <f>F11-ferias_meta</f>
        <v>0</v>
      </c>
      <c r="G12" s="6"/>
    </row>
    <row r="13" spans="1:7" ht="21.95" customHeight="1" x14ac:dyDescent="0.25">
      <c r="A13" s="6"/>
      <c r="B13" s="6"/>
      <c r="C13" s="6"/>
      <c r="D13" s="6"/>
      <c r="E13" s="6"/>
      <c r="F13" s="6"/>
      <c r="G13" s="6"/>
    </row>
    <row r="14" spans="1:7" ht="21.95" customHeight="1" x14ac:dyDescent="0.25">
      <c r="A14" s="6"/>
      <c r="B14" s="6"/>
      <c r="C14" s="6"/>
      <c r="D14" s="6"/>
      <c r="E14" s="6"/>
      <c r="F14" s="6"/>
      <c r="G14" s="6"/>
    </row>
    <row r="15" spans="1:7" ht="24" customHeight="1" x14ac:dyDescent="0.25">
      <c r="A15" s="6"/>
      <c r="B15" s="10" t="s">
        <v>50</v>
      </c>
      <c r="C15" s="10" t="s">
        <v>51</v>
      </c>
      <c r="D15" s="10" t="s">
        <v>52</v>
      </c>
      <c r="E15" s="10" t="s">
        <v>53</v>
      </c>
      <c r="F15" s="6"/>
      <c r="G15" s="6"/>
    </row>
    <row r="16" spans="1:7" ht="21.95" customHeight="1" x14ac:dyDescent="0.25">
      <c r="A16" s="6"/>
      <c r="B16" s="85" cm="1">
        <f t="array" ref="B16:E28">_xlfn._xlws.FILTER(projecao_ferias,INDEX(projecao_ferias,,1)&lt;=ferias_meses)</f>
        <v>0</v>
      </c>
      <c r="C16" s="86">
        <v>0</v>
      </c>
      <c r="D16" s="86">
        <v>0</v>
      </c>
      <c r="E16" s="86">
        <v>1000</v>
      </c>
      <c r="F16" s="6"/>
      <c r="G16" s="6"/>
    </row>
    <row r="17" spans="1:7" ht="21.95" customHeight="1" x14ac:dyDescent="0.25">
      <c r="A17" s="6"/>
      <c r="B17" s="85">
        <v>1</v>
      </c>
      <c r="C17" s="86">
        <v>397.09486714168878</v>
      </c>
      <c r="D17" s="86">
        <v>6</v>
      </c>
      <c r="E17" s="86">
        <v>1403.0948671416888</v>
      </c>
      <c r="F17" s="6"/>
      <c r="G17" s="6"/>
    </row>
    <row r="18" spans="1:7" ht="21.95" customHeight="1" x14ac:dyDescent="0.25">
      <c r="A18" s="6"/>
      <c r="B18" s="85">
        <v>2</v>
      </c>
      <c r="C18" s="86">
        <v>397.09486714168878</v>
      </c>
      <c r="D18" s="86">
        <v>8.4185692028501329</v>
      </c>
      <c r="E18" s="86">
        <v>1808.6083034862279</v>
      </c>
      <c r="F18" s="6"/>
      <c r="G18" s="6"/>
    </row>
    <row r="19" spans="1:7" ht="21.95" customHeight="1" x14ac:dyDescent="0.25">
      <c r="A19" s="6"/>
      <c r="B19" s="85">
        <v>3</v>
      </c>
      <c r="C19" s="86">
        <v>397.09486714168878</v>
      </c>
      <c r="D19" s="86">
        <v>10.851649820917368</v>
      </c>
      <c r="E19" s="86">
        <v>2216.5548204488341</v>
      </c>
      <c r="F19" s="6"/>
      <c r="G19" s="6"/>
    </row>
    <row r="20" spans="1:7" ht="21.95" customHeight="1" x14ac:dyDescent="0.25">
      <c r="A20" s="6"/>
      <c r="B20" s="85">
        <v>4</v>
      </c>
      <c r="C20" s="86">
        <v>397.09486714168878</v>
      </c>
      <c r="D20" s="86">
        <v>13.299328922693006</v>
      </c>
      <c r="E20" s="86">
        <v>2626.9490165132156</v>
      </c>
      <c r="F20" s="6"/>
      <c r="G20" s="6"/>
    </row>
    <row r="21" spans="1:7" ht="21.95" customHeight="1" x14ac:dyDescent="0.25">
      <c r="A21" s="6"/>
      <c r="B21" s="85">
        <v>5</v>
      </c>
      <c r="C21" s="86">
        <v>397.09486714168878</v>
      </c>
      <c r="D21" s="86">
        <v>15.761694099079294</v>
      </c>
      <c r="E21" s="86">
        <v>3039.8055777539835</v>
      </c>
      <c r="F21" s="6"/>
      <c r="G21" s="6"/>
    </row>
    <row r="22" spans="1:7" ht="21.95" customHeight="1" x14ac:dyDescent="0.25">
      <c r="A22" s="6"/>
      <c r="B22" s="85">
        <v>6</v>
      </c>
      <c r="C22" s="86">
        <v>397.09486714168878</v>
      </c>
      <c r="D22" s="86">
        <v>18.2388334665239</v>
      </c>
      <c r="E22" s="86">
        <v>3455.1392783621959</v>
      </c>
      <c r="F22" s="6"/>
      <c r="G22" s="6"/>
    </row>
    <row r="23" spans="1:7" ht="21.95" customHeight="1" x14ac:dyDescent="0.25">
      <c r="A23" s="6"/>
      <c r="B23" s="85">
        <v>7</v>
      </c>
      <c r="C23" s="86">
        <v>397.09486714168878</v>
      </c>
      <c r="D23" s="86">
        <v>20.730835670173175</v>
      </c>
      <c r="E23" s="86">
        <v>3872.9649811740578</v>
      </c>
      <c r="F23" s="6"/>
      <c r="G23" s="6"/>
    </row>
    <row r="24" spans="1:7" ht="21.95" customHeight="1" x14ac:dyDescent="0.25">
      <c r="A24" s="6"/>
      <c r="B24" s="85">
        <v>8</v>
      </c>
      <c r="C24" s="86">
        <v>397.09486714168878</v>
      </c>
      <c r="D24" s="86">
        <v>23.237789887044347</v>
      </c>
      <c r="E24" s="86">
        <v>4293.2976382027909</v>
      </c>
      <c r="F24" s="6"/>
      <c r="G24" s="6"/>
    </row>
    <row r="25" spans="1:7" ht="21.95" customHeight="1" x14ac:dyDescent="0.25">
      <c r="A25" s="6"/>
      <c r="B25" s="85">
        <v>9</v>
      </c>
      <c r="C25" s="86">
        <v>397.09486714168878</v>
      </c>
      <c r="D25" s="86">
        <v>25.759785829216746</v>
      </c>
      <c r="E25" s="86">
        <v>4716.1522911736965</v>
      </c>
      <c r="F25" s="6"/>
      <c r="G25" s="6"/>
    </row>
    <row r="26" spans="1:7" ht="21.95" customHeight="1" x14ac:dyDescent="0.25">
      <c r="A26" s="6"/>
      <c r="B26" s="85">
        <v>10</v>
      </c>
      <c r="C26" s="86">
        <v>397.09486714168878</v>
      </c>
      <c r="D26" s="86">
        <v>28.296913747042179</v>
      </c>
      <c r="E26" s="86">
        <v>5141.5440720624274</v>
      </c>
      <c r="F26" s="6"/>
      <c r="G26" s="6"/>
    </row>
    <row r="27" spans="1:7" ht="21.95" customHeight="1" x14ac:dyDescent="0.25">
      <c r="A27" s="6"/>
      <c r="B27" s="85">
        <v>11</v>
      </c>
      <c r="C27" s="86">
        <v>397.09486714168878</v>
      </c>
      <c r="D27" s="86">
        <v>30.849264432374564</v>
      </c>
      <c r="E27" s="86">
        <v>5569.4882036364907</v>
      </c>
      <c r="F27" s="6"/>
      <c r="G27" s="6"/>
    </row>
    <row r="28" spans="1:7" ht="21.95" customHeight="1" x14ac:dyDescent="0.25">
      <c r="A28" s="6"/>
      <c r="B28" s="85">
        <v>12</v>
      </c>
      <c r="C28" s="86">
        <v>397.09486714168878</v>
      </c>
      <c r="D28" s="86">
        <v>33.416929221818947</v>
      </c>
      <c r="E28" s="86">
        <v>5999.9999999999991</v>
      </c>
      <c r="F28" s="6"/>
      <c r="G28" s="6"/>
    </row>
    <row r="29" spans="1:7" ht="21.95" customHeight="1" x14ac:dyDescent="0.25">
      <c r="A29" s="6"/>
      <c r="B29" s="85"/>
      <c r="C29" s="86"/>
      <c r="D29" s="86"/>
      <c r="E29" s="86"/>
      <c r="F29" s="6"/>
      <c r="G29" s="6"/>
    </row>
    <row r="30" spans="1:7" ht="21.95" customHeight="1" x14ac:dyDescent="0.25">
      <c r="A30" s="6"/>
      <c r="B30" s="85"/>
      <c r="C30" s="86"/>
      <c r="D30" s="86"/>
      <c r="E30" s="86"/>
      <c r="F30" s="6"/>
      <c r="G30" s="6"/>
    </row>
    <row r="31" spans="1:7" ht="21.95" customHeight="1" x14ac:dyDescent="0.25">
      <c r="A31" s="6"/>
      <c r="B31" s="85"/>
      <c r="C31" s="86"/>
      <c r="D31" s="86"/>
      <c r="E31" s="86"/>
      <c r="F31" s="6"/>
      <c r="G31" s="6"/>
    </row>
    <row r="32" spans="1:7" ht="21.95" customHeight="1" x14ac:dyDescent="0.25">
      <c r="A32" s="6"/>
      <c r="B32" s="85"/>
      <c r="C32" s="86"/>
      <c r="D32" s="86"/>
      <c r="E32" s="86"/>
      <c r="F32" s="6"/>
      <c r="G32" s="6"/>
    </row>
    <row r="33" spans="1:7" ht="21.95" customHeight="1" x14ac:dyDescent="0.25">
      <c r="A33" s="6"/>
      <c r="B33" s="85"/>
      <c r="C33" s="86"/>
      <c r="D33" s="86"/>
      <c r="E33" s="86"/>
      <c r="F33" s="6"/>
      <c r="G33" s="6"/>
    </row>
    <row r="34" spans="1:7" ht="21.95" customHeight="1" x14ac:dyDescent="0.25">
      <c r="A34" s="6"/>
      <c r="B34" s="85"/>
      <c r="C34" s="86"/>
      <c r="D34" s="86"/>
      <c r="E34" s="86"/>
      <c r="F34" s="6"/>
      <c r="G34" s="6"/>
    </row>
    <row r="35" spans="1:7" ht="21.95" customHeight="1" x14ac:dyDescent="0.25">
      <c r="A35" s="6"/>
      <c r="B35" s="85"/>
      <c r="C35" s="86"/>
      <c r="D35" s="86"/>
      <c r="E35" s="86"/>
      <c r="F35" s="6"/>
      <c r="G35" s="6"/>
    </row>
    <row r="36" spans="1:7" ht="21.95" customHeight="1" x14ac:dyDescent="0.25">
      <c r="A36" s="6"/>
      <c r="B36" s="85"/>
      <c r="C36" s="86"/>
      <c r="D36" s="86"/>
      <c r="E36" s="86"/>
      <c r="F36" s="6"/>
      <c r="G36" s="6"/>
    </row>
    <row r="37" spans="1:7" ht="21.95" customHeight="1" x14ac:dyDescent="0.25">
      <c r="A37" s="6"/>
      <c r="B37" s="85"/>
      <c r="C37" s="86"/>
      <c r="D37" s="86"/>
      <c r="E37" s="86"/>
      <c r="F37" s="6"/>
      <c r="G37" s="6"/>
    </row>
    <row r="38" spans="1:7" ht="21.95" customHeight="1" x14ac:dyDescent="0.25">
      <c r="A38" s="6"/>
      <c r="B38" s="85"/>
      <c r="C38" s="86"/>
      <c r="D38" s="86"/>
      <c r="E38" s="86"/>
      <c r="F38" s="6"/>
      <c r="G38" s="6"/>
    </row>
    <row r="39" spans="1:7" ht="21.95" customHeight="1" x14ac:dyDescent="0.25">
      <c r="A39" s="6"/>
      <c r="B39" s="85"/>
      <c r="C39" s="86"/>
      <c r="D39" s="86"/>
      <c r="E39" s="86"/>
      <c r="F39" s="6"/>
      <c r="G39" s="6"/>
    </row>
    <row r="40" spans="1:7" ht="21.95" customHeight="1" x14ac:dyDescent="0.25">
      <c r="A40" s="6"/>
      <c r="B40" s="85"/>
      <c r="C40" s="86"/>
      <c r="D40" s="86"/>
      <c r="E40" s="86"/>
      <c r="F40" s="6"/>
      <c r="G40" s="6"/>
    </row>
    <row r="41" spans="1:7" ht="21.95" customHeight="1" x14ac:dyDescent="0.25">
      <c r="A41" s="6"/>
      <c r="B41" s="85"/>
      <c r="C41" s="86"/>
      <c r="D41" s="86"/>
      <c r="E41" s="86"/>
      <c r="F41" s="6"/>
      <c r="G41" s="6"/>
    </row>
    <row r="42" spans="1:7" ht="21.95" customHeight="1" x14ac:dyDescent="0.25">
      <c r="A42" s="6"/>
      <c r="B42" s="85"/>
      <c r="C42" s="86"/>
      <c r="D42" s="86"/>
      <c r="E42" s="86"/>
      <c r="F42" s="6"/>
      <c r="G42" s="6"/>
    </row>
    <row r="43" spans="1:7" ht="21.95" customHeight="1" x14ac:dyDescent="0.25">
      <c r="A43" s="6"/>
      <c r="B43" s="85"/>
      <c r="C43" s="86"/>
      <c r="D43" s="86"/>
      <c r="E43" s="86"/>
      <c r="F43" s="6"/>
      <c r="G43" s="6"/>
    </row>
    <row r="44" spans="1:7" ht="21.95" customHeight="1" x14ac:dyDescent="0.25">
      <c r="A44" s="6"/>
      <c r="B44" s="85"/>
      <c r="C44" s="86"/>
      <c r="D44" s="86"/>
      <c r="E44" s="86"/>
      <c r="F44" s="6"/>
      <c r="G44" s="6"/>
    </row>
    <row r="45" spans="1:7" ht="21.95" customHeight="1" x14ac:dyDescent="0.25">
      <c r="A45" s="6"/>
      <c r="B45" s="85"/>
      <c r="C45" s="86"/>
      <c r="D45" s="86"/>
      <c r="E45" s="86"/>
      <c r="F45" s="6"/>
      <c r="G45" s="6"/>
    </row>
    <row r="46" spans="1:7" ht="21.95" customHeight="1" x14ac:dyDescent="0.25">
      <c r="A46" s="6"/>
      <c r="B46" s="85"/>
      <c r="C46" s="86"/>
      <c r="D46" s="86"/>
      <c r="E46" s="86"/>
      <c r="F46" s="6"/>
      <c r="G46" s="6"/>
    </row>
    <row r="47" spans="1:7" ht="21.95" customHeight="1" x14ac:dyDescent="0.25">
      <c r="A47" s="6"/>
      <c r="B47" s="85"/>
      <c r="C47" s="86"/>
      <c r="D47" s="86"/>
      <c r="E47" s="86"/>
      <c r="F47" s="6"/>
      <c r="G47" s="6"/>
    </row>
    <row r="48" spans="1:7" ht="21.95" customHeight="1" x14ac:dyDescent="0.25">
      <c r="A48" s="6"/>
      <c r="B48" s="85"/>
      <c r="C48" s="86"/>
      <c r="D48" s="86"/>
      <c r="E48" s="86"/>
      <c r="F48" s="6"/>
      <c r="G48" s="6"/>
    </row>
    <row r="49" spans="1:7" ht="21.95" customHeight="1" x14ac:dyDescent="0.25">
      <c r="A49" s="6"/>
      <c r="B49" s="85"/>
      <c r="C49" s="86"/>
      <c r="D49" s="86"/>
      <c r="E49" s="86"/>
      <c r="F49" s="6"/>
      <c r="G49" s="6"/>
    </row>
    <row r="50" spans="1:7" ht="21.95" customHeight="1" x14ac:dyDescent="0.25">
      <c r="A50" s="6"/>
      <c r="B50" s="85"/>
      <c r="C50" s="86"/>
      <c r="D50" s="86"/>
      <c r="E50" s="86"/>
      <c r="F50" s="6"/>
      <c r="G50" s="6"/>
    </row>
    <row r="51" spans="1:7" ht="21.95" customHeight="1" x14ac:dyDescent="0.25">
      <c r="A51" s="6"/>
      <c r="B51" s="85"/>
      <c r="C51" s="86"/>
      <c r="D51" s="86"/>
      <c r="E51" s="86"/>
      <c r="F51" s="6"/>
      <c r="G51" s="6"/>
    </row>
    <row r="52" spans="1:7" ht="21.95" customHeight="1" x14ac:dyDescent="0.25">
      <c r="A52" s="6"/>
      <c r="B52" s="85"/>
      <c r="C52" s="86"/>
      <c r="D52" s="86"/>
      <c r="E52" s="86"/>
      <c r="F52" s="6"/>
      <c r="G52" s="6"/>
    </row>
    <row r="53" spans="1:7" ht="21.95" customHeight="1" x14ac:dyDescent="0.25">
      <c r="A53" s="6"/>
      <c r="B53" s="85"/>
      <c r="C53" s="86"/>
      <c r="D53" s="86"/>
      <c r="E53" s="86"/>
      <c r="F53" s="6"/>
      <c r="G53" s="6"/>
    </row>
    <row r="54" spans="1:7" ht="21.95" customHeight="1" x14ac:dyDescent="0.25">
      <c r="A54" s="6"/>
      <c r="B54" s="85"/>
      <c r="C54" s="86"/>
      <c r="D54" s="86"/>
      <c r="E54" s="86"/>
      <c r="F54" s="6"/>
      <c r="G54" s="6"/>
    </row>
    <row r="55" spans="1:7" ht="21.95" customHeight="1" x14ac:dyDescent="0.25">
      <c r="A55" s="6"/>
      <c r="B55" s="85"/>
      <c r="C55" s="86"/>
      <c r="D55" s="86"/>
      <c r="E55" s="86"/>
      <c r="F55" s="6"/>
      <c r="G55" s="6"/>
    </row>
    <row r="56" spans="1:7" ht="21.95" customHeight="1" x14ac:dyDescent="0.25">
      <c r="A56" s="6"/>
      <c r="B56" s="85"/>
      <c r="C56" s="86"/>
      <c r="D56" s="86"/>
      <c r="E56" s="86"/>
      <c r="F56" s="6"/>
      <c r="G56" s="6"/>
    </row>
    <row r="57" spans="1:7" ht="21.95" customHeight="1" x14ac:dyDescent="0.25">
      <c r="A57" s="6"/>
      <c r="B57" s="85"/>
      <c r="C57" s="86"/>
      <c r="D57" s="86"/>
      <c r="E57" s="86"/>
      <c r="F57" s="6"/>
      <c r="G57" s="6"/>
    </row>
    <row r="58" spans="1:7" ht="21.95" customHeight="1" x14ac:dyDescent="0.25">
      <c r="A58" s="6"/>
      <c r="B58" s="85"/>
      <c r="C58" s="86"/>
      <c r="D58" s="86"/>
      <c r="E58" s="86"/>
      <c r="F58" s="6"/>
      <c r="G58" s="6"/>
    </row>
    <row r="59" spans="1:7" ht="21.95" customHeight="1" x14ac:dyDescent="0.25">
      <c r="A59" s="6"/>
      <c r="B59" s="85"/>
      <c r="C59" s="86"/>
      <c r="D59" s="86"/>
      <c r="E59" s="86"/>
      <c r="F59" s="6"/>
      <c r="G59" s="6"/>
    </row>
    <row r="60" spans="1:7" ht="21.95" customHeight="1" x14ac:dyDescent="0.25">
      <c r="A60" s="6"/>
      <c r="B60" s="85"/>
      <c r="C60" s="86"/>
      <c r="D60" s="86"/>
      <c r="E60" s="86"/>
      <c r="F60" s="6"/>
      <c r="G60" s="6"/>
    </row>
    <row r="61" spans="1:7" ht="21.95" customHeight="1" x14ac:dyDescent="0.25">
      <c r="A61" s="6"/>
      <c r="B61" s="85"/>
      <c r="C61" s="86"/>
      <c r="D61" s="86"/>
      <c r="E61" s="86"/>
      <c r="F61" s="6"/>
      <c r="G61" s="6"/>
    </row>
    <row r="62" spans="1:7" ht="21.95" customHeight="1" x14ac:dyDescent="0.25">
      <c r="A62" s="6"/>
      <c r="B62" s="85"/>
      <c r="C62" s="86"/>
      <c r="D62" s="86"/>
      <c r="E62" s="86"/>
      <c r="F62" s="6"/>
      <c r="G62" s="6"/>
    </row>
    <row r="63" spans="1:7" ht="21.95" customHeight="1" x14ac:dyDescent="0.25">
      <c r="A63" s="6"/>
      <c r="B63" s="85"/>
      <c r="C63" s="86"/>
      <c r="D63" s="86"/>
      <c r="E63" s="86"/>
      <c r="F63" s="6"/>
      <c r="G63" s="6"/>
    </row>
    <row r="64" spans="1:7" ht="21.95" customHeight="1" x14ac:dyDescent="0.25">
      <c r="A64" s="6"/>
      <c r="B64" s="85"/>
      <c r="C64" s="86"/>
      <c r="D64" s="86"/>
      <c r="E64" s="86"/>
      <c r="F64" s="6"/>
      <c r="G64" s="6"/>
    </row>
    <row r="65" spans="1:7" ht="21.95" customHeight="1" x14ac:dyDescent="0.25">
      <c r="A65" s="6"/>
      <c r="B65" s="85"/>
      <c r="C65" s="86"/>
      <c r="D65" s="86"/>
      <c r="E65" s="86"/>
      <c r="F65" s="6"/>
      <c r="G65" s="6"/>
    </row>
    <row r="66" spans="1:7" ht="21.95" customHeight="1" x14ac:dyDescent="0.25">
      <c r="A66" s="6"/>
      <c r="B66" s="85"/>
      <c r="C66" s="86"/>
      <c r="D66" s="86"/>
      <c r="E66" s="86"/>
      <c r="F66" s="6"/>
      <c r="G66" s="6"/>
    </row>
    <row r="67" spans="1:7" ht="21.95" customHeight="1" x14ac:dyDescent="0.25">
      <c r="A67" s="6"/>
      <c r="B67" s="85"/>
      <c r="C67" s="86"/>
      <c r="D67" s="86"/>
      <c r="E67" s="86"/>
      <c r="F67" s="6"/>
      <c r="G67" s="6"/>
    </row>
    <row r="68" spans="1:7" ht="21.95" customHeight="1" x14ac:dyDescent="0.25">
      <c r="A68" s="6"/>
      <c r="B68" s="85"/>
      <c r="C68" s="86"/>
      <c r="D68" s="86"/>
      <c r="E68" s="86"/>
      <c r="F68" s="6"/>
      <c r="G68" s="6"/>
    </row>
    <row r="69" spans="1:7" ht="21.95" customHeight="1" x14ac:dyDescent="0.25">
      <c r="A69" s="6"/>
      <c r="B69" s="85"/>
      <c r="C69" s="86"/>
      <c r="D69" s="86"/>
      <c r="E69" s="86"/>
      <c r="F69" s="6"/>
      <c r="G69" s="6"/>
    </row>
    <row r="70" spans="1:7" ht="21.95" customHeight="1" x14ac:dyDescent="0.25">
      <c r="A70" s="6"/>
      <c r="B70" s="85"/>
      <c r="C70" s="86"/>
      <c r="D70" s="86"/>
      <c r="E70" s="86"/>
      <c r="F70" s="6"/>
      <c r="G70" s="6"/>
    </row>
    <row r="71" spans="1:7" ht="21.95" customHeight="1" x14ac:dyDescent="0.25">
      <c r="A71" s="6"/>
      <c r="B71" s="85"/>
      <c r="C71" s="86"/>
      <c r="D71" s="86"/>
      <c r="E71" s="86"/>
      <c r="F71" s="6"/>
      <c r="G71" s="6"/>
    </row>
    <row r="72" spans="1:7" ht="21.95" customHeight="1" x14ac:dyDescent="0.25">
      <c r="A72" s="6"/>
      <c r="B72" s="85"/>
      <c r="C72" s="86"/>
      <c r="D72" s="86"/>
      <c r="E72" s="86"/>
      <c r="F72" s="6"/>
      <c r="G72" s="6"/>
    </row>
    <row r="73" spans="1:7" ht="21.95" customHeight="1" x14ac:dyDescent="0.25">
      <c r="A73" s="6"/>
      <c r="B73" s="85"/>
      <c r="C73" s="86"/>
      <c r="D73" s="86"/>
      <c r="E73" s="86"/>
      <c r="F73" s="6"/>
      <c r="G73" s="6"/>
    </row>
    <row r="74" spans="1:7" ht="21.95" customHeight="1" x14ac:dyDescent="0.25">
      <c r="A74" s="6"/>
      <c r="B74" s="85"/>
      <c r="C74" s="86"/>
      <c r="D74" s="86"/>
      <c r="E74" s="86"/>
      <c r="F74" s="6"/>
      <c r="G74" s="6"/>
    </row>
    <row r="75" spans="1:7" ht="21.95" customHeight="1" x14ac:dyDescent="0.25">
      <c r="A75" s="6"/>
      <c r="B75" s="85"/>
      <c r="C75" s="86"/>
      <c r="D75" s="86"/>
      <c r="E75" s="86"/>
      <c r="F75" s="6"/>
      <c r="G75" s="6"/>
    </row>
    <row r="76" spans="1:7" ht="21.95" customHeight="1" x14ac:dyDescent="0.25">
      <c r="A76" s="6"/>
      <c r="B76" s="87"/>
      <c r="C76" s="88"/>
      <c r="D76" s="88"/>
      <c r="E76" s="88"/>
      <c r="F76" s="6"/>
      <c r="G76" s="6"/>
    </row>
    <row r="77" spans="1:7" ht="21.95" customHeight="1" x14ac:dyDescent="0.25">
      <c r="A77" s="6"/>
      <c r="B77" s="6"/>
      <c r="C77" s="6"/>
      <c r="D77" s="6"/>
      <c r="E77" s="6"/>
      <c r="F77" s="6"/>
      <c r="G77" s="6"/>
    </row>
    <row r="78" spans="1:7" ht="21.95" customHeight="1" x14ac:dyDescent="0.25">
      <c r="A78" s="6"/>
      <c r="B78" s="6"/>
      <c r="C78" s="6"/>
      <c r="D78" s="6"/>
      <c r="E78" s="6"/>
      <c r="F78" s="6"/>
      <c r="G78" s="6"/>
    </row>
    <row r="79" spans="1:7" ht="21.95" customHeight="1" x14ac:dyDescent="0.25">
      <c r="A79" s="6"/>
      <c r="B79" s="6"/>
      <c r="C79" s="6"/>
      <c r="D79" s="6"/>
      <c r="E79" s="6"/>
      <c r="F79" s="6"/>
      <c r="G79" s="6"/>
    </row>
    <row r="80" spans="1:7" ht="21.95" customHeight="1" x14ac:dyDescent="0.25">
      <c r="A80" s="6"/>
      <c r="B80" s="6"/>
      <c r="C80" s="6"/>
      <c r="D80" s="6"/>
      <c r="E80" s="6"/>
      <c r="F80" s="6"/>
      <c r="G80" s="6"/>
    </row>
  </sheetData>
  <mergeCells count="8">
    <mergeCell ref="B11:E11"/>
    <mergeCell ref="B12:E12"/>
    <mergeCell ref="B3:F3"/>
    <mergeCell ref="B5:E5"/>
    <mergeCell ref="B6:E6"/>
    <mergeCell ref="B7:E7"/>
    <mergeCell ref="B8:E8"/>
    <mergeCell ref="B10:E10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84CF7-E0A6-4524-BA99-BB67CE842F40}">
  <dimension ref="A2:I22"/>
  <sheetViews>
    <sheetView showGridLines="0" showRowColHeaders="0" workbookViewId="0">
      <selection activeCell="F11" sqref="F11"/>
    </sheetView>
  </sheetViews>
  <sheetFormatPr defaultRowHeight="15" x14ac:dyDescent="0.25"/>
  <cols>
    <col min="1" max="1" width="30.85546875" bestFit="1" customWidth="1"/>
    <col min="2" max="3" width="18.5703125" bestFit="1" customWidth="1"/>
    <col min="4" max="4" width="11.85546875" customWidth="1"/>
    <col min="8" max="8" width="16.85546875" bestFit="1" customWidth="1"/>
    <col min="9" max="9" width="11.7109375" customWidth="1"/>
  </cols>
  <sheetData>
    <row r="2" spans="1:9" x14ac:dyDescent="0.25">
      <c r="B2" s="1"/>
      <c r="C2" s="1"/>
    </row>
    <row r="3" spans="1:9" x14ac:dyDescent="0.25">
      <c r="B3" s="1"/>
      <c r="C3" s="1"/>
      <c r="I3" s="1" t="s">
        <v>31</v>
      </c>
    </row>
    <row r="4" spans="1:9" x14ac:dyDescent="0.25">
      <c r="A4" t="s">
        <v>32</v>
      </c>
      <c r="B4" s="1" t="s">
        <v>20</v>
      </c>
      <c r="C4" s="1" t="s">
        <v>30</v>
      </c>
      <c r="D4" s="1" t="s">
        <v>31</v>
      </c>
    </row>
    <row r="5" spans="1:9" x14ac:dyDescent="0.25">
      <c r="A5" t="str">
        <f>B5&amp;"-"&amp;C5</f>
        <v>Conservador-PAPEL</v>
      </c>
      <c r="B5" s="1" t="s">
        <v>19</v>
      </c>
      <c r="C5" s="1" t="s">
        <v>24</v>
      </c>
      <c r="D5" s="2">
        <v>0.3</v>
      </c>
    </row>
    <row r="6" spans="1:9" x14ac:dyDescent="0.25">
      <c r="A6" t="str">
        <f t="shared" ref="A6:A22" si="0">B6&amp;"-"&amp;C6</f>
        <v>Conservador-TIJOLO</v>
      </c>
      <c r="B6" s="1" t="s">
        <v>19</v>
      </c>
      <c r="C6" s="1" t="s">
        <v>25</v>
      </c>
      <c r="D6" s="2">
        <v>0.5</v>
      </c>
    </row>
    <row r="7" spans="1:9" x14ac:dyDescent="0.25">
      <c r="A7" t="str">
        <f t="shared" si="0"/>
        <v>Conservador-HIBRIDOS</v>
      </c>
      <c r="B7" s="1" t="s">
        <v>19</v>
      </c>
      <c r="C7" s="1" t="s">
        <v>26</v>
      </c>
      <c r="D7" s="2">
        <v>0.1</v>
      </c>
    </row>
    <row r="8" spans="1:9" x14ac:dyDescent="0.25">
      <c r="A8" t="str">
        <f t="shared" si="0"/>
        <v>Conservador-FOF's</v>
      </c>
      <c r="B8" s="1" t="s">
        <v>19</v>
      </c>
      <c r="C8" s="1" t="s">
        <v>27</v>
      </c>
      <c r="D8" s="2">
        <v>0.1</v>
      </c>
    </row>
    <row r="9" spans="1:9" x14ac:dyDescent="0.25">
      <c r="A9" t="str">
        <f t="shared" si="0"/>
        <v>Conservador-DESENVOLVIMENTO</v>
      </c>
      <c r="B9" s="1" t="s">
        <v>19</v>
      </c>
      <c r="C9" s="1" t="s">
        <v>28</v>
      </c>
      <c r="D9" s="2">
        <v>0</v>
      </c>
    </row>
    <row r="10" spans="1:9" ht="15.75" thickBot="1" x14ac:dyDescent="0.3">
      <c r="A10" s="3" t="str">
        <f t="shared" si="0"/>
        <v>Conservador-HOTELARIAS</v>
      </c>
      <c r="B10" s="4" t="s">
        <v>19</v>
      </c>
      <c r="C10" s="4" t="s">
        <v>29</v>
      </c>
      <c r="D10" s="5">
        <v>0</v>
      </c>
    </row>
    <row r="11" spans="1:9" x14ac:dyDescent="0.25">
      <c r="A11" t="str">
        <f t="shared" si="0"/>
        <v>Moderado-PAPEL</v>
      </c>
      <c r="B11" s="1" t="s">
        <v>18</v>
      </c>
      <c r="C11" s="1" t="s">
        <v>24</v>
      </c>
      <c r="D11" s="2">
        <v>0.32</v>
      </c>
    </row>
    <row r="12" spans="1:9" x14ac:dyDescent="0.25">
      <c r="A12" t="str">
        <f t="shared" si="0"/>
        <v>Moderado-TIJOLO</v>
      </c>
      <c r="B12" s="1" t="s">
        <v>18</v>
      </c>
      <c r="C12" s="1" t="s">
        <v>25</v>
      </c>
      <c r="D12" s="2">
        <v>0.35</v>
      </c>
    </row>
    <row r="13" spans="1:9" x14ac:dyDescent="0.25">
      <c r="A13" t="str">
        <f t="shared" si="0"/>
        <v>Moderado-HIBRIDOS</v>
      </c>
      <c r="B13" s="1" t="s">
        <v>18</v>
      </c>
      <c r="C13" s="1" t="s">
        <v>26</v>
      </c>
      <c r="D13" s="2">
        <v>0.08</v>
      </c>
    </row>
    <row r="14" spans="1:9" x14ac:dyDescent="0.25">
      <c r="A14" t="str">
        <f t="shared" si="0"/>
        <v>Moderado-FOF's</v>
      </c>
      <c r="B14" s="1" t="s">
        <v>18</v>
      </c>
      <c r="C14" s="1" t="s">
        <v>27</v>
      </c>
      <c r="D14" s="2">
        <v>0.05</v>
      </c>
    </row>
    <row r="15" spans="1:9" x14ac:dyDescent="0.25">
      <c r="A15" t="str">
        <f t="shared" si="0"/>
        <v>Moderado-DESENVOLVIMENTO</v>
      </c>
      <c r="B15" s="1" t="s">
        <v>18</v>
      </c>
      <c r="C15" s="1" t="s">
        <v>28</v>
      </c>
      <c r="D15" s="2">
        <v>0.1</v>
      </c>
    </row>
    <row r="16" spans="1:9" ht="15.75" thickBot="1" x14ac:dyDescent="0.3">
      <c r="A16" s="3" t="str">
        <f t="shared" si="0"/>
        <v>Moderado-HOTELARIAS</v>
      </c>
      <c r="B16" s="4" t="s">
        <v>18</v>
      </c>
      <c r="C16" s="4" t="s">
        <v>29</v>
      </c>
      <c r="D16" s="5">
        <v>0.1</v>
      </c>
    </row>
    <row r="17" spans="1:4" x14ac:dyDescent="0.25">
      <c r="A17" t="str">
        <f t="shared" si="0"/>
        <v>Agressivo-PAPEL</v>
      </c>
      <c r="B17" s="1" t="s">
        <v>17</v>
      </c>
      <c r="C17" s="1" t="s">
        <v>24</v>
      </c>
      <c r="D17" s="2">
        <v>0.5</v>
      </c>
    </row>
    <row r="18" spans="1:4" x14ac:dyDescent="0.25">
      <c r="A18" t="str">
        <f t="shared" si="0"/>
        <v>Agressivo-TIJOLO</v>
      </c>
      <c r="B18" s="1" t="s">
        <v>17</v>
      </c>
      <c r="C18" s="1" t="s">
        <v>25</v>
      </c>
      <c r="D18" s="2">
        <v>0.1</v>
      </c>
    </row>
    <row r="19" spans="1:4" x14ac:dyDescent="0.25">
      <c r="A19" t="str">
        <f t="shared" si="0"/>
        <v>Agressivo-HIBRIDOS</v>
      </c>
      <c r="B19" s="1" t="s">
        <v>17</v>
      </c>
      <c r="C19" s="1" t="s">
        <v>26</v>
      </c>
      <c r="D19" s="2">
        <v>0.05</v>
      </c>
    </row>
    <row r="20" spans="1:4" x14ac:dyDescent="0.25">
      <c r="A20" t="str">
        <f t="shared" si="0"/>
        <v>Agressivo-FOF's</v>
      </c>
      <c r="B20" s="1" t="s">
        <v>17</v>
      </c>
      <c r="C20" s="1" t="s">
        <v>27</v>
      </c>
      <c r="D20" s="2">
        <v>0.05</v>
      </c>
    </row>
    <row r="21" spans="1:4" x14ac:dyDescent="0.25">
      <c r="A21" t="str">
        <f t="shared" si="0"/>
        <v>Agressivo-DESENVOLVIMENTO</v>
      </c>
      <c r="B21" s="1" t="s">
        <v>17</v>
      </c>
      <c r="C21" s="1" t="s">
        <v>28</v>
      </c>
      <c r="D21" s="2">
        <v>0.2</v>
      </c>
    </row>
    <row r="22" spans="1:4" x14ac:dyDescent="0.25">
      <c r="A22" t="str">
        <f t="shared" si="0"/>
        <v>Agressivo-HOTELARIAS</v>
      </c>
      <c r="B22" s="1" t="s">
        <v>17</v>
      </c>
      <c r="C22" s="1" t="s">
        <v>29</v>
      </c>
      <c r="D22" s="2">
        <v>0.1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6FC0-D95B-429C-AF03-A428C51F4FEB}">
  <dimension ref="A1:O63"/>
  <sheetViews>
    <sheetView showGridLines="0" showRowColHeaders="0" workbookViewId="0">
      <selection activeCell="C33" sqref="C33"/>
    </sheetView>
  </sheetViews>
  <sheetFormatPr defaultRowHeight="15" x14ac:dyDescent="0.25"/>
  <sheetData>
    <row r="1" spans="1:15" x14ac:dyDescent="0.25">
      <c r="A1" s="60" t="s">
        <v>54</v>
      </c>
      <c r="B1" s="60"/>
      <c r="C1" s="60"/>
      <c r="D1" s="61"/>
      <c r="E1" s="60" t="s">
        <v>55</v>
      </c>
      <c r="F1" s="60"/>
      <c r="G1" s="60"/>
      <c r="H1" s="61"/>
      <c r="I1" s="60" t="s">
        <v>56</v>
      </c>
      <c r="J1" s="60"/>
      <c r="K1" s="60"/>
      <c r="L1" s="60"/>
      <c r="M1" s="61"/>
      <c r="N1" s="61" t="s">
        <v>22</v>
      </c>
      <c r="O1" s="61" t="s">
        <v>23</v>
      </c>
    </row>
    <row r="2" spans="1:15" x14ac:dyDescent="0.25">
      <c r="A2" s="61" t="s">
        <v>39</v>
      </c>
      <c r="B2" s="61" t="s">
        <v>40</v>
      </c>
      <c r="C2" s="61" t="s">
        <v>41</v>
      </c>
      <c r="D2" s="61"/>
      <c r="E2" s="61" t="s">
        <v>39</v>
      </c>
      <c r="F2" s="61" t="s">
        <v>40</v>
      </c>
      <c r="G2" s="61" t="s">
        <v>41</v>
      </c>
      <c r="H2" s="61"/>
      <c r="I2" s="61" t="s">
        <v>50</v>
      </c>
      <c r="J2" s="61" t="s">
        <v>51</v>
      </c>
      <c r="K2" s="61" t="s">
        <v>52</v>
      </c>
      <c r="L2" s="61" t="s">
        <v>53</v>
      </c>
      <c r="M2" s="61"/>
      <c r="N2" s="61" t="str">
        <f>'Simulador de Patrimônio'!B36</f>
        <v>PAPEL</v>
      </c>
      <c r="O2" s="78">
        <f>'Simulador de Patrimônio'!D36</f>
        <v>60</v>
      </c>
    </row>
    <row r="3" spans="1:15" x14ac:dyDescent="0.25">
      <c r="A3" s="61">
        <v>2</v>
      </c>
      <c r="B3" s="78">
        <f>FV(taxa_mensal,A3*12,-aporte)</f>
        <v>5445.5254595290435</v>
      </c>
      <c r="C3" s="78">
        <f>B3*rendimento_carteira</f>
        <v>32.673152757174265</v>
      </c>
      <c r="D3" s="61"/>
      <c r="E3" s="61">
        <v>2</v>
      </c>
      <c r="F3" s="78">
        <f>FV(taxa_mensal,E3*12,-aporte_sugerido)</f>
        <v>24504.864567880697</v>
      </c>
      <c r="G3" s="78">
        <f>F3*rendimento_carteira</f>
        <v>147.02918740728418</v>
      </c>
      <c r="H3" s="61"/>
      <c r="I3" s="61">
        <v>0</v>
      </c>
      <c r="J3" s="78">
        <v>0</v>
      </c>
      <c r="K3" s="78">
        <v>0</v>
      </c>
      <c r="L3" s="78">
        <f>ferias_reserva</f>
        <v>1000</v>
      </c>
      <c r="M3" s="61"/>
      <c r="N3" s="61" t="str">
        <f>'Simulador de Patrimônio'!B37</f>
        <v>TIJOLO</v>
      </c>
      <c r="O3" s="78">
        <f>'Simulador de Patrimônio'!D37</f>
        <v>100</v>
      </c>
    </row>
    <row r="4" spans="1:15" x14ac:dyDescent="0.25">
      <c r="A4" s="61">
        <v>5</v>
      </c>
      <c r="B4" s="78">
        <f>FV(taxa_mensal,A4*12,-aporte)</f>
        <v>16755.382799697527</v>
      </c>
      <c r="C4" s="78">
        <f>B4*rendimento_carteira</f>
        <v>100.53229679818516</v>
      </c>
      <c r="D4" s="61"/>
      <c r="E4" s="61">
        <v>5</v>
      </c>
      <c r="F4" s="78">
        <f>FV(taxa_mensal,E4*12,-aporte_sugerido)</f>
        <v>75399.22259863888</v>
      </c>
      <c r="G4" s="78">
        <f>F4*rendimento_carteira</f>
        <v>452.39533559183332</v>
      </c>
      <c r="H4" s="61"/>
      <c r="I4" s="61">
        <f>IF(I3&lt;ferias_meses,I3+1,"")</f>
        <v>1</v>
      </c>
      <c r="J4" s="78">
        <f>IF(I4="","",ferias_aporte)</f>
        <v>397.09486714168878</v>
      </c>
      <c r="K4" s="78">
        <f>IF(I4="","",L3*ferias_taxa)</f>
        <v>6</v>
      </c>
      <c r="L4" s="78">
        <f>IF(I4="","",L3+J4+K4)</f>
        <v>1403.0948671416888</v>
      </c>
      <c r="M4" s="61"/>
      <c r="N4" s="61" t="str">
        <f>'Simulador de Patrimônio'!B38</f>
        <v>HIBRIDOS</v>
      </c>
      <c r="O4" s="78">
        <f>'Simulador de Patrimônio'!D38</f>
        <v>20</v>
      </c>
    </row>
    <row r="5" spans="1:15" x14ac:dyDescent="0.25">
      <c r="A5" s="61">
        <v>10</v>
      </c>
      <c r="B5" s="78">
        <f>FV(taxa_mensal,A5*12,-aporte)</f>
        <v>48656.842506034438</v>
      </c>
      <c r="C5" s="78">
        <f>B5*rendimento_carteira</f>
        <v>291.94105503620665</v>
      </c>
      <c r="D5" s="61"/>
      <c r="E5" s="61">
        <v>10</v>
      </c>
      <c r="F5" s="78">
        <f>FV(taxa_mensal,E5*12,-aporte_sugerido)</f>
        <v>218955.79127715499</v>
      </c>
      <c r="G5" s="78">
        <f>F5*rendimento_carteira</f>
        <v>1313.73474766293</v>
      </c>
      <c r="H5" s="61"/>
      <c r="I5" s="61">
        <f>IF(I4&lt;ferias_meses,I4+1,"")</f>
        <v>2</v>
      </c>
      <c r="J5" s="78">
        <f>IF(I5="","",ferias_aporte)</f>
        <v>397.09486714168878</v>
      </c>
      <c r="K5" s="78">
        <f>IF(I5="","",L4*ferias_taxa)</f>
        <v>8.4185692028501329</v>
      </c>
      <c r="L5" s="78">
        <f t="shared" ref="L5:L63" si="0">IF(I5="","",L4+J5+K5)</f>
        <v>1808.6083034862279</v>
      </c>
      <c r="M5" s="61"/>
      <c r="N5" s="61" t="str">
        <f>'Simulador de Patrimônio'!B39</f>
        <v>FOF's</v>
      </c>
      <c r="O5" s="78">
        <f>'Simulador de Patrimônio'!D39</f>
        <v>20</v>
      </c>
    </row>
    <row r="6" spans="1:15" x14ac:dyDescent="0.25">
      <c r="A6" s="61">
        <v>20</v>
      </c>
      <c r="B6" s="78">
        <f>FV(taxa_mensal,A6*12,-aporte)</f>
        <v>225039.68001941612</v>
      </c>
      <c r="C6" s="78">
        <f>B6*rendimento_carteira</f>
        <v>1350.2380801164968</v>
      </c>
      <c r="D6" s="61"/>
      <c r="E6" s="61">
        <v>20</v>
      </c>
      <c r="F6" s="78">
        <f>FV(taxa_mensal,E6*12,-aporte_sugerido)</f>
        <v>1012678.5600873725</v>
      </c>
      <c r="G6" s="78">
        <f>F6*rendimento_carteira</f>
        <v>6076.0713605242354</v>
      </c>
      <c r="H6" s="61"/>
      <c r="I6" s="61">
        <f>IF(I5&lt;ferias_meses,I5+1,"")</f>
        <v>3</v>
      </c>
      <c r="J6" s="78">
        <f>IF(I6="","",ferias_aporte)</f>
        <v>397.09486714168878</v>
      </c>
      <c r="K6" s="78">
        <f>IF(I6="","",L5*ferias_taxa)</f>
        <v>10.851649820917368</v>
      </c>
      <c r="L6" s="78">
        <f t="shared" si="0"/>
        <v>2216.5548204488341</v>
      </c>
      <c r="M6" s="61"/>
      <c r="N6" s="61" t="str">
        <f>'Simulador de Patrimônio'!B40</f>
        <v>DESENVOLVIMENTO</v>
      </c>
      <c r="O6" s="78">
        <f>'Simulador de Patrimônio'!D40</f>
        <v>0</v>
      </c>
    </row>
    <row r="7" spans="1:15" x14ac:dyDescent="0.25">
      <c r="A7" s="61">
        <v>30</v>
      </c>
      <c r="B7" s="78">
        <f>FV(taxa_mensal,A7*12,-aporte)</f>
        <v>864433.93100094295</v>
      </c>
      <c r="C7" s="78">
        <f>B7*rendimento_carteira</f>
        <v>5186.6035860056581</v>
      </c>
      <c r="D7" s="61"/>
      <c r="E7" s="61">
        <v>30</v>
      </c>
      <c r="F7" s="78">
        <f>FV(taxa_mensal,E7*12,-aporte_sugerido)</f>
        <v>3889952.689504243</v>
      </c>
      <c r="G7" s="78">
        <f>F7*rendimento_carteira</f>
        <v>23339.716137025458</v>
      </c>
      <c r="H7" s="61"/>
      <c r="I7" s="61">
        <f>IF(I6&lt;ferias_meses,I6+1,"")</f>
        <v>4</v>
      </c>
      <c r="J7" s="78">
        <f>IF(I7="","",ferias_aporte)</f>
        <v>397.09486714168878</v>
      </c>
      <c r="K7" s="78">
        <f>IF(I7="","",L6*ferias_taxa)</f>
        <v>13.299328922693006</v>
      </c>
      <c r="L7" s="78">
        <f t="shared" si="0"/>
        <v>2626.9490165132156</v>
      </c>
      <c r="M7" s="61"/>
      <c r="N7" s="61" t="str">
        <f>'Simulador de Patrimônio'!B41</f>
        <v>HOTELARIAS</v>
      </c>
      <c r="O7" s="78">
        <f>'Simulador de Patrimônio'!D41</f>
        <v>0</v>
      </c>
    </row>
    <row r="8" spans="1:15" x14ac:dyDescent="0.25">
      <c r="A8" s="61"/>
      <c r="B8" s="61"/>
      <c r="C8" s="61"/>
      <c r="D8" s="61"/>
      <c r="E8" s="61"/>
      <c r="F8" s="61"/>
      <c r="G8" s="61"/>
      <c r="H8" s="61"/>
      <c r="I8" s="61">
        <f>IF(I7&lt;ferias_meses,I7+1,"")</f>
        <v>5</v>
      </c>
      <c r="J8" s="78">
        <f>IF(I8="","",ferias_aporte)</f>
        <v>397.09486714168878</v>
      </c>
      <c r="K8" s="78">
        <f>IF(I8="","",L7*ferias_taxa)</f>
        <v>15.761694099079294</v>
      </c>
      <c r="L8" s="78">
        <f t="shared" si="0"/>
        <v>3039.8055777539835</v>
      </c>
      <c r="M8" s="61"/>
      <c r="N8" s="61"/>
      <c r="O8" s="61"/>
    </row>
    <row r="9" spans="1:15" x14ac:dyDescent="0.25">
      <c r="A9" s="61"/>
      <c r="B9" s="61"/>
      <c r="C9" s="61"/>
      <c r="D9" s="61"/>
      <c r="E9" s="61"/>
      <c r="F9" s="61"/>
      <c r="G9" s="61"/>
      <c r="H9" s="61"/>
      <c r="I9" s="61">
        <f>IF(I8&lt;ferias_meses,I8+1,"")</f>
        <v>6</v>
      </c>
      <c r="J9" s="78">
        <f>IF(I9="","",ferias_aporte)</f>
        <v>397.09486714168878</v>
      </c>
      <c r="K9" s="78">
        <f>IF(I9="","",L8*ferias_taxa)</f>
        <v>18.2388334665239</v>
      </c>
      <c r="L9" s="78">
        <f t="shared" si="0"/>
        <v>3455.1392783621959</v>
      </c>
      <c r="M9" s="61"/>
      <c r="N9" s="61"/>
      <c r="O9" s="61"/>
    </row>
    <row r="10" spans="1:15" x14ac:dyDescent="0.25">
      <c r="A10" s="61"/>
      <c r="B10" s="61"/>
      <c r="C10" s="61"/>
      <c r="D10" s="61"/>
      <c r="E10" s="61"/>
      <c r="F10" s="61"/>
      <c r="G10" s="61"/>
      <c r="H10" s="61"/>
      <c r="I10" s="61">
        <f>IF(I9&lt;ferias_meses,I9+1,"")</f>
        <v>7</v>
      </c>
      <c r="J10" s="78">
        <f>IF(I10="","",ferias_aporte)</f>
        <v>397.09486714168878</v>
      </c>
      <c r="K10" s="78">
        <f>IF(I10="","",L9*ferias_taxa)</f>
        <v>20.730835670173175</v>
      </c>
      <c r="L10" s="78">
        <f t="shared" si="0"/>
        <v>3872.9649811740578</v>
      </c>
      <c r="M10" s="61"/>
      <c r="N10" s="61"/>
      <c r="O10" s="61"/>
    </row>
    <row r="11" spans="1:15" x14ac:dyDescent="0.25">
      <c r="A11" s="61"/>
      <c r="B11" s="61"/>
      <c r="C11" s="61"/>
      <c r="D11" s="61"/>
      <c r="E11" s="61"/>
      <c r="F11" s="61"/>
      <c r="G11" s="61"/>
      <c r="H11" s="61"/>
      <c r="I11" s="61">
        <f>IF(I10&lt;ferias_meses,I10+1,"")</f>
        <v>8</v>
      </c>
      <c r="J11" s="78">
        <f>IF(I11="","",ferias_aporte)</f>
        <v>397.09486714168878</v>
      </c>
      <c r="K11" s="78">
        <f>IF(I11="","",L10*ferias_taxa)</f>
        <v>23.237789887044347</v>
      </c>
      <c r="L11" s="78">
        <f t="shared" si="0"/>
        <v>4293.2976382027909</v>
      </c>
      <c r="M11" s="61"/>
      <c r="N11" s="61"/>
      <c r="O11" s="61"/>
    </row>
    <row r="12" spans="1:15" x14ac:dyDescent="0.25">
      <c r="A12" s="61"/>
      <c r="B12" s="61"/>
      <c r="C12" s="61"/>
      <c r="D12" s="61"/>
      <c r="E12" s="61"/>
      <c r="F12" s="61"/>
      <c r="G12" s="61"/>
      <c r="H12" s="61"/>
      <c r="I12" s="61">
        <f>IF(I11&lt;ferias_meses,I11+1,"")</f>
        <v>9</v>
      </c>
      <c r="J12" s="78">
        <f>IF(I12="","",ferias_aporte)</f>
        <v>397.09486714168878</v>
      </c>
      <c r="K12" s="78">
        <f>IF(I12="","",L11*ferias_taxa)</f>
        <v>25.759785829216746</v>
      </c>
      <c r="L12" s="78">
        <f t="shared" si="0"/>
        <v>4716.1522911736965</v>
      </c>
      <c r="M12" s="61"/>
      <c r="N12" s="61"/>
      <c r="O12" s="61"/>
    </row>
    <row r="13" spans="1:15" x14ac:dyDescent="0.25">
      <c r="A13" s="61"/>
      <c r="B13" s="61"/>
      <c r="C13" s="61"/>
      <c r="D13" s="61"/>
      <c r="E13" s="61"/>
      <c r="F13" s="61"/>
      <c r="G13" s="61"/>
      <c r="H13" s="61"/>
      <c r="I13" s="61">
        <f>IF(I12&lt;ferias_meses,I12+1,"")</f>
        <v>10</v>
      </c>
      <c r="J13" s="78">
        <f>IF(I13="","",ferias_aporte)</f>
        <v>397.09486714168878</v>
      </c>
      <c r="K13" s="78">
        <f>IF(I13="","",L12*ferias_taxa)</f>
        <v>28.296913747042179</v>
      </c>
      <c r="L13" s="78">
        <f t="shared" si="0"/>
        <v>5141.5440720624274</v>
      </c>
      <c r="M13" s="61"/>
      <c r="N13" s="61"/>
      <c r="O13" s="61"/>
    </row>
    <row r="14" spans="1:15" x14ac:dyDescent="0.25">
      <c r="A14" s="61"/>
      <c r="B14" s="61"/>
      <c r="C14" s="61"/>
      <c r="D14" s="61"/>
      <c r="E14" s="61"/>
      <c r="F14" s="61"/>
      <c r="G14" s="61"/>
      <c r="H14" s="61"/>
      <c r="I14" s="61">
        <f>IF(I13&lt;ferias_meses,I13+1,"")</f>
        <v>11</v>
      </c>
      <c r="J14" s="78">
        <f>IF(I14="","",ferias_aporte)</f>
        <v>397.09486714168878</v>
      </c>
      <c r="K14" s="78">
        <f>IF(I14="","",L13*ferias_taxa)</f>
        <v>30.849264432374564</v>
      </c>
      <c r="L14" s="78">
        <f t="shared" si="0"/>
        <v>5569.4882036364907</v>
      </c>
      <c r="M14" s="61"/>
      <c r="N14" s="61"/>
      <c r="O14" s="61"/>
    </row>
    <row r="15" spans="1:15" x14ac:dyDescent="0.25">
      <c r="A15" s="61"/>
      <c r="B15" s="61"/>
      <c r="C15" s="61"/>
      <c r="D15" s="61"/>
      <c r="E15" s="61"/>
      <c r="F15" s="61"/>
      <c r="G15" s="61"/>
      <c r="H15" s="61"/>
      <c r="I15" s="61">
        <f>IF(I14&lt;ferias_meses,I14+1,"")</f>
        <v>12</v>
      </c>
      <c r="J15" s="78">
        <f>IF(I15="","",ferias_aporte)</f>
        <v>397.09486714168878</v>
      </c>
      <c r="K15" s="78">
        <f>IF(I15="","",L14*ferias_taxa)</f>
        <v>33.416929221818947</v>
      </c>
      <c r="L15" s="78">
        <f t="shared" si="0"/>
        <v>5999.9999999999991</v>
      </c>
      <c r="M15" s="61"/>
      <c r="N15" s="61"/>
      <c r="O15" s="61"/>
    </row>
    <row r="16" spans="1:15" x14ac:dyDescent="0.25">
      <c r="A16" s="61"/>
      <c r="B16" s="61"/>
      <c r="C16" s="61"/>
      <c r="D16" s="61"/>
      <c r="E16" s="61"/>
      <c r="F16" s="61"/>
      <c r="G16" s="61"/>
      <c r="H16" s="61"/>
      <c r="I16" s="61" t="str">
        <f>IF(I15&lt;ferias_meses,I15+1,"")</f>
        <v/>
      </c>
      <c r="J16" s="78" t="str">
        <f>IF(I16="","",ferias_aporte)</f>
        <v/>
      </c>
      <c r="K16" s="78" t="str">
        <f>IF(I16="","",L15*ferias_taxa)</f>
        <v/>
      </c>
      <c r="L16" s="78" t="str">
        <f t="shared" si="0"/>
        <v/>
      </c>
      <c r="M16" s="61"/>
      <c r="N16" s="61"/>
      <c r="O16" s="61"/>
    </row>
    <row r="17" spans="1:15" x14ac:dyDescent="0.25">
      <c r="A17" s="61"/>
      <c r="B17" s="61"/>
      <c r="C17" s="61"/>
      <c r="D17" s="61"/>
      <c r="E17" s="61"/>
      <c r="F17" s="61"/>
      <c r="G17" s="61"/>
      <c r="H17" s="61"/>
      <c r="I17" s="61" t="str">
        <f>IF(I16&lt;ferias_meses,I16+1,"")</f>
        <v/>
      </c>
      <c r="J17" s="78" t="str">
        <f>IF(I17="","",ferias_aporte)</f>
        <v/>
      </c>
      <c r="K17" s="78" t="str">
        <f>IF(I17="","",L16*ferias_taxa)</f>
        <v/>
      </c>
      <c r="L17" s="78" t="str">
        <f t="shared" si="0"/>
        <v/>
      </c>
      <c r="M17" s="61"/>
      <c r="N17" s="61"/>
      <c r="O17" s="61"/>
    </row>
    <row r="18" spans="1:15" x14ac:dyDescent="0.25">
      <c r="A18" s="61"/>
      <c r="B18" s="61"/>
      <c r="C18" s="61"/>
      <c r="D18" s="61"/>
      <c r="E18" s="61"/>
      <c r="F18" s="61"/>
      <c r="G18" s="61"/>
      <c r="H18" s="61"/>
      <c r="I18" s="61" t="str">
        <f>IF(I17&lt;ferias_meses,I17+1,"")</f>
        <v/>
      </c>
      <c r="J18" s="78" t="str">
        <f>IF(I18="","",ferias_aporte)</f>
        <v/>
      </c>
      <c r="K18" s="78" t="str">
        <f>IF(I18="","",L17*ferias_taxa)</f>
        <v/>
      </c>
      <c r="L18" s="78" t="str">
        <f t="shared" si="0"/>
        <v/>
      </c>
      <c r="M18" s="61"/>
      <c r="N18" s="61"/>
      <c r="O18" s="61"/>
    </row>
    <row r="19" spans="1:15" x14ac:dyDescent="0.25">
      <c r="A19" s="61"/>
      <c r="B19" s="61"/>
      <c r="C19" s="61"/>
      <c r="D19" s="61"/>
      <c r="E19" s="61"/>
      <c r="F19" s="61"/>
      <c r="G19" s="61"/>
      <c r="H19" s="61"/>
      <c r="I19" s="61" t="str">
        <f>IF(I18&lt;ferias_meses,I18+1,"")</f>
        <v/>
      </c>
      <c r="J19" s="78" t="str">
        <f>IF(I19="","",ferias_aporte)</f>
        <v/>
      </c>
      <c r="K19" s="78" t="str">
        <f>IF(I19="","",L18*ferias_taxa)</f>
        <v/>
      </c>
      <c r="L19" s="78" t="str">
        <f t="shared" si="0"/>
        <v/>
      </c>
      <c r="M19" s="61"/>
      <c r="N19" s="61"/>
      <c r="O19" s="61"/>
    </row>
    <row r="20" spans="1:15" x14ac:dyDescent="0.25">
      <c r="A20" s="61"/>
      <c r="B20" s="61"/>
      <c r="C20" s="61"/>
      <c r="D20" s="61"/>
      <c r="E20" s="61"/>
      <c r="F20" s="61"/>
      <c r="G20" s="61"/>
      <c r="H20" s="61"/>
      <c r="I20" s="61" t="str">
        <f>IF(I19&lt;ferias_meses,I19+1,"")</f>
        <v/>
      </c>
      <c r="J20" s="78" t="str">
        <f>IF(I20="","",ferias_aporte)</f>
        <v/>
      </c>
      <c r="K20" s="78" t="str">
        <f>IF(I20="","",L19*ferias_taxa)</f>
        <v/>
      </c>
      <c r="L20" s="78" t="str">
        <f t="shared" si="0"/>
        <v/>
      </c>
      <c r="M20" s="61"/>
      <c r="N20" s="61"/>
      <c r="O20" s="61"/>
    </row>
    <row r="21" spans="1:15" x14ac:dyDescent="0.25">
      <c r="A21" s="61"/>
      <c r="B21" s="61"/>
      <c r="C21" s="61"/>
      <c r="D21" s="61"/>
      <c r="E21" s="61"/>
      <c r="F21" s="61"/>
      <c r="G21" s="61"/>
      <c r="H21" s="61"/>
      <c r="I21" s="61" t="str">
        <f>IF(I20&lt;ferias_meses,I20+1,"")</f>
        <v/>
      </c>
      <c r="J21" s="78" t="str">
        <f>IF(I21="","",ferias_aporte)</f>
        <v/>
      </c>
      <c r="K21" s="78" t="str">
        <f>IF(I21="","",L20*ferias_taxa)</f>
        <v/>
      </c>
      <c r="L21" s="78" t="str">
        <f t="shared" si="0"/>
        <v/>
      </c>
      <c r="M21" s="61"/>
      <c r="N21" s="61"/>
      <c r="O21" s="61"/>
    </row>
    <row r="22" spans="1:15" x14ac:dyDescent="0.25">
      <c r="A22" s="61"/>
      <c r="B22" s="61"/>
      <c r="C22" s="61"/>
      <c r="D22" s="61"/>
      <c r="E22" s="61"/>
      <c r="F22" s="61"/>
      <c r="G22" s="61"/>
      <c r="H22" s="61"/>
      <c r="I22" s="61" t="str">
        <f>IF(I21&lt;ferias_meses,I21+1,"")</f>
        <v/>
      </c>
      <c r="J22" s="78" t="str">
        <f>IF(I22="","",ferias_aporte)</f>
        <v/>
      </c>
      <c r="K22" s="78" t="str">
        <f>IF(I22="","",L21*ferias_taxa)</f>
        <v/>
      </c>
      <c r="L22" s="78" t="str">
        <f t="shared" si="0"/>
        <v/>
      </c>
      <c r="M22" s="61"/>
      <c r="N22" s="61"/>
      <c r="O22" s="61"/>
    </row>
    <row r="23" spans="1:15" x14ac:dyDescent="0.25">
      <c r="A23" s="61"/>
      <c r="B23" s="61"/>
      <c r="C23" s="61"/>
      <c r="D23" s="61"/>
      <c r="E23" s="61"/>
      <c r="F23" s="61"/>
      <c r="G23" s="61"/>
      <c r="H23" s="61"/>
      <c r="I23" s="61" t="str">
        <f>IF(I22&lt;ferias_meses,I22+1,"")</f>
        <v/>
      </c>
      <c r="J23" s="78" t="str">
        <f>IF(I23="","",ferias_aporte)</f>
        <v/>
      </c>
      <c r="K23" s="78" t="str">
        <f>IF(I23="","",L22*ferias_taxa)</f>
        <v/>
      </c>
      <c r="L23" s="78" t="str">
        <f t="shared" si="0"/>
        <v/>
      </c>
      <c r="M23" s="61"/>
      <c r="N23" s="61"/>
      <c r="O23" s="61"/>
    </row>
    <row r="24" spans="1:15" x14ac:dyDescent="0.25">
      <c r="A24" s="61"/>
      <c r="B24" s="61"/>
      <c r="C24" s="61"/>
      <c r="D24" s="61"/>
      <c r="E24" s="61"/>
      <c r="F24" s="61"/>
      <c r="G24" s="61"/>
      <c r="H24" s="61"/>
      <c r="I24" s="61" t="str">
        <f>IF(I23&lt;ferias_meses,I23+1,"")</f>
        <v/>
      </c>
      <c r="J24" s="78" t="str">
        <f>IF(I24="","",ferias_aporte)</f>
        <v/>
      </c>
      <c r="K24" s="78" t="str">
        <f>IF(I24="","",L23*ferias_taxa)</f>
        <v/>
      </c>
      <c r="L24" s="78" t="str">
        <f t="shared" si="0"/>
        <v/>
      </c>
      <c r="M24" s="61"/>
      <c r="N24" s="61"/>
      <c r="O24" s="61"/>
    </row>
    <row r="25" spans="1:15" x14ac:dyDescent="0.25">
      <c r="A25" s="61"/>
      <c r="B25" s="61"/>
      <c r="C25" s="61"/>
      <c r="D25" s="61"/>
      <c r="E25" s="61"/>
      <c r="F25" s="61"/>
      <c r="G25" s="61"/>
      <c r="H25" s="61"/>
      <c r="I25" s="61" t="str">
        <f>IF(I24&lt;ferias_meses,I24+1,"")</f>
        <v/>
      </c>
      <c r="J25" s="78" t="str">
        <f>IF(I25="","",ferias_aporte)</f>
        <v/>
      </c>
      <c r="K25" s="78" t="str">
        <f>IF(I25="","",L24*ferias_taxa)</f>
        <v/>
      </c>
      <c r="L25" s="78" t="str">
        <f t="shared" si="0"/>
        <v/>
      </c>
      <c r="M25" s="61"/>
      <c r="N25" s="61"/>
      <c r="O25" s="61"/>
    </row>
    <row r="26" spans="1:15" x14ac:dyDescent="0.25">
      <c r="A26" s="61"/>
      <c r="B26" s="61"/>
      <c r="C26" s="61"/>
      <c r="D26" s="61"/>
      <c r="E26" s="61"/>
      <c r="F26" s="61"/>
      <c r="G26" s="61"/>
      <c r="H26" s="61"/>
      <c r="I26" s="61" t="str">
        <f>IF(I25&lt;ferias_meses,I25+1,"")</f>
        <v/>
      </c>
      <c r="J26" s="78" t="str">
        <f>IF(I26="","",ferias_aporte)</f>
        <v/>
      </c>
      <c r="K26" s="78" t="str">
        <f>IF(I26="","",L25*ferias_taxa)</f>
        <v/>
      </c>
      <c r="L26" s="78" t="str">
        <f t="shared" si="0"/>
        <v/>
      </c>
      <c r="M26" s="61"/>
      <c r="N26" s="61"/>
      <c r="O26" s="61"/>
    </row>
    <row r="27" spans="1:15" x14ac:dyDescent="0.25">
      <c r="A27" s="61"/>
      <c r="B27" s="61"/>
      <c r="C27" s="61"/>
      <c r="D27" s="61"/>
      <c r="E27" s="61"/>
      <c r="F27" s="61"/>
      <c r="G27" s="61"/>
      <c r="H27" s="61"/>
      <c r="I27" s="61" t="str">
        <f>IF(I26&lt;ferias_meses,I26+1,"")</f>
        <v/>
      </c>
      <c r="J27" s="78" t="str">
        <f>IF(I27="","",ferias_aporte)</f>
        <v/>
      </c>
      <c r="K27" s="78" t="str">
        <f>IF(I27="","",L26*ferias_taxa)</f>
        <v/>
      </c>
      <c r="L27" s="78" t="str">
        <f t="shared" si="0"/>
        <v/>
      </c>
      <c r="M27" s="61"/>
      <c r="N27" s="61"/>
      <c r="O27" s="61"/>
    </row>
    <row r="28" spans="1:15" x14ac:dyDescent="0.25">
      <c r="A28" s="61"/>
      <c r="B28" s="61"/>
      <c r="C28" s="61"/>
      <c r="D28" s="61"/>
      <c r="E28" s="61"/>
      <c r="F28" s="61"/>
      <c r="G28" s="61"/>
      <c r="H28" s="61"/>
      <c r="I28" s="61" t="str">
        <f>IF(I27&lt;ferias_meses,I27+1,"")</f>
        <v/>
      </c>
      <c r="J28" s="78" t="str">
        <f>IF(I28="","",ferias_aporte)</f>
        <v/>
      </c>
      <c r="K28" s="78" t="str">
        <f>IF(I28="","",L27*ferias_taxa)</f>
        <v/>
      </c>
      <c r="L28" s="78" t="str">
        <f t="shared" si="0"/>
        <v/>
      </c>
      <c r="M28" s="61"/>
      <c r="N28" s="61"/>
      <c r="O28" s="61"/>
    </row>
    <row r="29" spans="1:15" x14ac:dyDescent="0.25">
      <c r="A29" s="61"/>
      <c r="B29" s="61"/>
      <c r="C29" s="61"/>
      <c r="D29" s="61"/>
      <c r="E29" s="61"/>
      <c r="F29" s="61"/>
      <c r="G29" s="61"/>
      <c r="H29" s="61"/>
      <c r="I29" s="61" t="str">
        <f>IF(I28&lt;ferias_meses,I28+1,"")</f>
        <v/>
      </c>
      <c r="J29" s="78" t="str">
        <f>IF(I29="","",ferias_aporte)</f>
        <v/>
      </c>
      <c r="K29" s="78" t="str">
        <f>IF(I29="","",L28*ferias_taxa)</f>
        <v/>
      </c>
      <c r="L29" s="78" t="str">
        <f t="shared" si="0"/>
        <v/>
      </c>
      <c r="M29" s="61"/>
      <c r="N29" s="61"/>
      <c r="O29" s="61"/>
    </row>
    <row r="30" spans="1:15" x14ac:dyDescent="0.25">
      <c r="A30" s="61"/>
      <c r="B30" s="61"/>
      <c r="C30" s="61"/>
      <c r="D30" s="61"/>
      <c r="E30" s="61"/>
      <c r="F30" s="61"/>
      <c r="G30" s="61"/>
      <c r="H30" s="61"/>
      <c r="I30" s="61" t="str">
        <f>IF(I29&lt;ferias_meses,I29+1,"")</f>
        <v/>
      </c>
      <c r="J30" s="78" t="str">
        <f>IF(I30="","",ferias_aporte)</f>
        <v/>
      </c>
      <c r="K30" s="78" t="str">
        <f>IF(I30="","",L29*ferias_taxa)</f>
        <v/>
      </c>
      <c r="L30" s="78" t="str">
        <f t="shared" si="0"/>
        <v/>
      </c>
      <c r="M30" s="61"/>
      <c r="N30" s="61"/>
      <c r="O30" s="61"/>
    </row>
    <row r="31" spans="1:15" x14ac:dyDescent="0.25">
      <c r="A31" s="61"/>
      <c r="B31" s="61"/>
      <c r="C31" s="61"/>
      <c r="D31" s="61"/>
      <c r="E31" s="61"/>
      <c r="F31" s="61"/>
      <c r="G31" s="61"/>
      <c r="H31" s="61"/>
      <c r="I31" s="61" t="str">
        <f>IF(I30&lt;ferias_meses,I30+1,"")</f>
        <v/>
      </c>
      <c r="J31" s="78" t="str">
        <f>IF(I31="","",ferias_aporte)</f>
        <v/>
      </c>
      <c r="K31" s="78" t="str">
        <f>IF(I31="","",L30*ferias_taxa)</f>
        <v/>
      </c>
      <c r="L31" s="78" t="str">
        <f t="shared" si="0"/>
        <v/>
      </c>
      <c r="M31" s="61"/>
      <c r="N31" s="61"/>
      <c r="O31" s="61"/>
    </row>
    <row r="32" spans="1:15" x14ac:dyDescent="0.25">
      <c r="A32" s="61"/>
      <c r="B32" s="61"/>
      <c r="C32" s="61"/>
      <c r="D32" s="61"/>
      <c r="E32" s="61"/>
      <c r="F32" s="61"/>
      <c r="G32" s="61"/>
      <c r="H32" s="61"/>
      <c r="I32" s="61" t="str">
        <f>IF(I31&lt;ferias_meses,I31+1,"")</f>
        <v/>
      </c>
      <c r="J32" s="78" t="str">
        <f>IF(I32="","",ferias_aporte)</f>
        <v/>
      </c>
      <c r="K32" s="78" t="str">
        <f>IF(I32="","",L31*ferias_taxa)</f>
        <v/>
      </c>
      <c r="L32" s="78" t="str">
        <f t="shared" si="0"/>
        <v/>
      </c>
      <c r="M32" s="61"/>
      <c r="N32" s="61"/>
      <c r="O32" s="61"/>
    </row>
    <row r="33" spans="1:15" x14ac:dyDescent="0.25">
      <c r="A33" s="61"/>
      <c r="B33" s="61"/>
      <c r="C33" s="61"/>
      <c r="D33" s="61"/>
      <c r="E33" s="61"/>
      <c r="F33" s="61"/>
      <c r="G33" s="61"/>
      <c r="H33" s="61"/>
      <c r="I33" s="61" t="str">
        <f>IF(I32&lt;ferias_meses,I32+1,"")</f>
        <v/>
      </c>
      <c r="J33" s="78" t="str">
        <f>IF(I33="","",ferias_aporte)</f>
        <v/>
      </c>
      <c r="K33" s="78" t="str">
        <f>IF(I33="","",L32*ferias_taxa)</f>
        <v/>
      </c>
      <c r="L33" s="78" t="str">
        <f t="shared" si="0"/>
        <v/>
      </c>
      <c r="M33" s="61"/>
      <c r="N33" s="61"/>
      <c r="O33" s="61"/>
    </row>
    <row r="34" spans="1:15" x14ac:dyDescent="0.25">
      <c r="A34" s="61"/>
      <c r="B34" s="61"/>
      <c r="C34" s="61"/>
      <c r="D34" s="61"/>
      <c r="E34" s="61"/>
      <c r="F34" s="61"/>
      <c r="G34" s="61"/>
      <c r="H34" s="61"/>
      <c r="I34" s="61" t="str">
        <f>IF(I33&lt;ferias_meses,I33+1,"")</f>
        <v/>
      </c>
      <c r="J34" s="78" t="str">
        <f>IF(I34="","",ferias_aporte)</f>
        <v/>
      </c>
      <c r="K34" s="78" t="str">
        <f>IF(I34="","",L33*ferias_taxa)</f>
        <v/>
      </c>
      <c r="L34" s="78" t="str">
        <f t="shared" si="0"/>
        <v/>
      </c>
      <c r="M34" s="61"/>
      <c r="N34" s="61"/>
      <c r="O34" s="61"/>
    </row>
    <row r="35" spans="1:15" x14ac:dyDescent="0.25">
      <c r="A35" s="61"/>
      <c r="B35" s="61"/>
      <c r="C35" s="61"/>
      <c r="D35" s="61"/>
      <c r="E35" s="61"/>
      <c r="F35" s="61"/>
      <c r="G35" s="61"/>
      <c r="H35" s="61"/>
      <c r="I35" s="61" t="str">
        <f>IF(I34&lt;ferias_meses,I34+1,"")</f>
        <v/>
      </c>
      <c r="J35" s="78" t="str">
        <f>IF(I35="","",ferias_aporte)</f>
        <v/>
      </c>
      <c r="K35" s="78" t="str">
        <f>IF(I35="","",L34*ferias_taxa)</f>
        <v/>
      </c>
      <c r="L35" s="78" t="str">
        <f t="shared" si="0"/>
        <v/>
      </c>
      <c r="M35" s="61"/>
      <c r="N35" s="61"/>
      <c r="O35" s="61"/>
    </row>
    <row r="36" spans="1:15" x14ac:dyDescent="0.25">
      <c r="A36" s="61"/>
      <c r="B36" s="61"/>
      <c r="C36" s="61"/>
      <c r="D36" s="61"/>
      <c r="E36" s="61"/>
      <c r="F36" s="61"/>
      <c r="G36" s="61"/>
      <c r="H36" s="61"/>
      <c r="I36" s="61" t="str">
        <f>IF(I35&lt;ferias_meses,I35+1,"")</f>
        <v/>
      </c>
      <c r="J36" s="78" t="str">
        <f>IF(I36="","",ferias_aporte)</f>
        <v/>
      </c>
      <c r="K36" s="78" t="str">
        <f>IF(I36="","",L35*ferias_taxa)</f>
        <v/>
      </c>
      <c r="L36" s="78" t="str">
        <f t="shared" si="0"/>
        <v/>
      </c>
      <c r="M36" s="61"/>
      <c r="N36" s="61"/>
      <c r="O36" s="61"/>
    </row>
    <row r="37" spans="1:15" x14ac:dyDescent="0.25">
      <c r="A37" s="61"/>
      <c r="B37" s="61"/>
      <c r="C37" s="61"/>
      <c r="D37" s="61"/>
      <c r="E37" s="61"/>
      <c r="F37" s="61"/>
      <c r="G37" s="61"/>
      <c r="H37" s="61"/>
      <c r="I37" s="61" t="str">
        <f>IF(I36&lt;ferias_meses,I36+1,"")</f>
        <v/>
      </c>
      <c r="J37" s="78" t="str">
        <f>IF(I37="","",ferias_aporte)</f>
        <v/>
      </c>
      <c r="K37" s="78" t="str">
        <f>IF(I37="","",L36*ferias_taxa)</f>
        <v/>
      </c>
      <c r="L37" s="78" t="str">
        <f t="shared" si="0"/>
        <v/>
      </c>
      <c r="M37" s="61"/>
      <c r="N37" s="61"/>
      <c r="O37" s="61"/>
    </row>
    <row r="38" spans="1:15" x14ac:dyDescent="0.25">
      <c r="A38" s="61"/>
      <c r="B38" s="61"/>
      <c r="C38" s="61"/>
      <c r="D38" s="61"/>
      <c r="E38" s="61"/>
      <c r="F38" s="61"/>
      <c r="G38" s="61"/>
      <c r="H38" s="61"/>
      <c r="I38" s="61" t="str">
        <f>IF(I37&lt;ferias_meses,I37+1,"")</f>
        <v/>
      </c>
      <c r="J38" s="78" t="str">
        <f>IF(I38="","",ferias_aporte)</f>
        <v/>
      </c>
      <c r="K38" s="78" t="str">
        <f>IF(I38="","",L37*ferias_taxa)</f>
        <v/>
      </c>
      <c r="L38" s="78" t="str">
        <f t="shared" si="0"/>
        <v/>
      </c>
      <c r="M38" s="61"/>
      <c r="N38" s="61"/>
      <c r="O38" s="61"/>
    </row>
    <row r="39" spans="1:15" x14ac:dyDescent="0.25">
      <c r="A39" s="61"/>
      <c r="B39" s="61"/>
      <c r="C39" s="61"/>
      <c r="D39" s="61"/>
      <c r="E39" s="61"/>
      <c r="F39" s="61"/>
      <c r="G39" s="61"/>
      <c r="H39" s="61"/>
      <c r="I39" s="61" t="str">
        <f>IF(I38&lt;ferias_meses,I38+1,"")</f>
        <v/>
      </c>
      <c r="J39" s="78" t="str">
        <f>IF(I39="","",ferias_aporte)</f>
        <v/>
      </c>
      <c r="K39" s="78" t="str">
        <f>IF(I39="","",L38*ferias_taxa)</f>
        <v/>
      </c>
      <c r="L39" s="78" t="str">
        <f t="shared" si="0"/>
        <v/>
      </c>
      <c r="M39" s="61"/>
      <c r="N39" s="61"/>
      <c r="O39" s="61"/>
    </row>
    <row r="40" spans="1:15" x14ac:dyDescent="0.25">
      <c r="A40" s="61"/>
      <c r="B40" s="61"/>
      <c r="C40" s="61"/>
      <c r="D40" s="61"/>
      <c r="E40" s="61"/>
      <c r="F40" s="61"/>
      <c r="G40" s="61"/>
      <c r="H40" s="61"/>
      <c r="I40" s="61" t="str">
        <f>IF(I39&lt;ferias_meses,I39+1,"")</f>
        <v/>
      </c>
      <c r="J40" s="78" t="str">
        <f>IF(I40="","",ferias_aporte)</f>
        <v/>
      </c>
      <c r="K40" s="78" t="str">
        <f>IF(I40="","",L39*ferias_taxa)</f>
        <v/>
      </c>
      <c r="L40" s="78" t="str">
        <f t="shared" si="0"/>
        <v/>
      </c>
      <c r="M40" s="61"/>
      <c r="N40" s="61"/>
      <c r="O40" s="61"/>
    </row>
    <row r="41" spans="1:15" x14ac:dyDescent="0.25">
      <c r="A41" s="61"/>
      <c r="B41" s="61"/>
      <c r="C41" s="61"/>
      <c r="D41" s="61"/>
      <c r="E41" s="61"/>
      <c r="F41" s="61"/>
      <c r="G41" s="61"/>
      <c r="H41" s="61"/>
      <c r="I41" s="61" t="str">
        <f>IF(I40&lt;ferias_meses,I40+1,"")</f>
        <v/>
      </c>
      <c r="J41" s="78" t="str">
        <f>IF(I41="","",ferias_aporte)</f>
        <v/>
      </c>
      <c r="K41" s="78" t="str">
        <f>IF(I41="","",L40*ferias_taxa)</f>
        <v/>
      </c>
      <c r="L41" s="78" t="str">
        <f t="shared" si="0"/>
        <v/>
      </c>
      <c r="M41" s="61"/>
      <c r="N41" s="61"/>
      <c r="O41" s="61"/>
    </row>
    <row r="42" spans="1:15" x14ac:dyDescent="0.25">
      <c r="A42" s="61"/>
      <c r="B42" s="61"/>
      <c r="C42" s="61"/>
      <c r="D42" s="61"/>
      <c r="E42" s="61"/>
      <c r="F42" s="61"/>
      <c r="G42" s="61"/>
      <c r="H42" s="61"/>
      <c r="I42" s="61" t="str">
        <f>IF(I41&lt;ferias_meses,I41+1,"")</f>
        <v/>
      </c>
      <c r="J42" s="78" t="str">
        <f>IF(I42="","",ferias_aporte)</f>
        <v/>
      </c>
      <c r="K42" s="78" t="str">
        <f>IF(I42="","",L41*ferias_taxa)</f>
        <v/>
      </c>
      <c r="L42" s="78" t="str">
        <f t="shared" si="0"/>
        <v/>
      </c>
      <c r="M42" s="61"/>
      <c r="N42" s="61"/>
      <c r="O42" s="61"/>
    </row>
    <row r="43" spans="1:15" x14ac:dyDescent="0.25">
      <c r="A43" s="61"/>
      <c r="B43" s="61"/>
      <c r="C43" s="61"/>
      <c r="D43" s="61"/>
      <c r="E43" s="61"/>
      <c r="F43" s="61"/>
      <c r="G43" s="61"/>
      <c r="H43" s="61"/>
      <c r="I43" s="61" t="str">
        <f>IF(I42&lt;ferias_meses,I42+1,"")</f>
        <v/>
      </c>
      <c r="J43" s="78" t="str">
        <f>IF(I43="","",ferias_aporte)</f>
        <v/>
      </c>
      <c r="K43" s="78" t="str">
        <f>IF(I43="","",L42*ferias_taxa)</f>
        <v/>
      </c>
      <c r="L43" s="78" t="str">
        <f t="shared" si="0"/>
        <v/>
      </c>
      <c r="M43" s="61"/>
      <c r="N43" s="61"/>
      <c r="O43" s="61"/>
    </row>
    <row r="44" spans="1:15" x14ac:dyDescent="0.25">
      <c r="A44" s="61"/>
      <c r="B44" s="61"/>
      <c r="C44" s="61"/>
      <c r="D44" s="61"/>
      <c r="E44" s="61"/>
      <c r="F44" s="61"/>
      <c r="G44" s="61"/>
      <c r="H44" s="61"/>
      <c r="I44" s="61" t="str">
        <f>IF(I43&lt;ferias_meses,I43+1,"")</f>
        <v/>
      </c>
      <c r="J44" s="78" t="str">
        <f>IF(I44="","",ferias_aporte)</f>
        <v/>
      </c>
      <c r="K44" s="78" t="str">
        <f>IF(I44="","",L43*ferias_taxa)</f>
        <v/>
      </c>
      <c r="L44" s="78" t="str">
        <f t="shared" si="0"/>
        <v/>
      </c>
      <c r="M44" s="61"/>
      <c r="N44" s="61"/>
      <c r="O44" s="61"/>
    </row>
    <row r="45" spans="1:15" x14ac:dyDescent="0.25">
      <c r="A45" s="61"/>
      <c r="B45" s="61"/>
      <c r="C45" s="61"/>
      <c r="D45" s="61"/>
      <c r="E45" s="61"/>
      <c r="F45" s="61"/>
      <c r="G45" s="61"/>
      <c r="H45" s="61"/>
      <c r="I45" s="61" t="str">
        <f>IF(I44&lt;ferias_meses,I44+1,"")</f>
        <v/>
      </c>
      <c r="J45" s="78" t="str">
        <f>IF(I45="","",ferias_aporte)</f>
        <v/>
      </c>
      <c r="K45" s="78" t="str">
        <f>IF(I45="","",L44*ferias_taxa)</f>
        <v/>
      </c>
      <c r="L45" s="78" t="str">
        <f t="shared" si="0"/>
        <v/>
      </c>
      <c r="M45" s="61"/>
      <c r="N45" s="61"/>
      <c r="O45" s="61"/>
    </row>
    <row r="46" spans="1:15" x14ac:dyDescent="0.25">
      <c r="A46" s="61"/>
      <c r="B46" s="61"/>
      <c r="C46" s="61"/>
      <c r="D46" s="61"/>
      <c r="E46" s="61"/>
      <c r="F46" s="61"/>
      <c r="G46" s="61"/>
      <c r="H46" s="61"/>
      <c r="I46" s="61" t="str">
        <f>IF(I45&lt;ferias_meses,I45+1,"")</f>
        <v/>
      </c>
      <c r="J46" s="78" t="str">
        <f>IF(I46="","",ferias_aporte)</f>
        <v/>
      </c>
      <c r="K46" s="78" t="str">
        <f>IF(I46="","",L45*ferias_taxa)</f>
        <v/>
      </c>
      <c r="L46" s="78" t="str">
        <f t="shared" si="0"/>
        <v/>
      </c>
      <c r="M46" s="61"/>
      <c r="N46" s="61"/>
      <c r="O46" s="61"/>
    </row>
    <row r="47" spans="1:15" x14ac:dyDescent="0.25">
      <c r="A47" s="61"/>
      <c r="B47" s="61"/>
      <c r="C47" s="61"/>
      <c r="D47" s="61"/>
      <c r="E47" s="61"/>
      <c r="F47" s="61"/>
      <c r="G47" s="61"/>
      <c r="H47" s="61"/>
      <c r="I47" s="61" t="str">
        <f>IF(I46&lt;ferias_meses,I46+1,"")</f>
        <v/>
      </c>
      <c r="J47" s="78" t="str">
        <f>IF(I47="","",ferias_aporte)</f>
        <v/>
      </c>
      <c r="K47" s="78" t="str">
        <f>IF(I47="","",L46*ferias_taxa)</f>
        <v/>
      </c>
      <c r="L47" s="78" t="str">
        <f t="shared" si="0"/>
        <v/>
      </c>
      <c r="M47" s="61"/>
      <c r="N47" s="61"/>
      <c r="O47" s="61"/>
    </row>
    <row r="48" spans="1:15" x14ac:dyDescent="0.25">
      <c r="A48" s="61"/>
      <c r="B48" s="61"/>
      <c r="C48" s="61"/>
      <c r="D48" s="61"/>
      <c r="E48" s="61"/>
      <c r="F48" s="61"/>
      <c r="G48" s="61"/>
      <c r="H48" s="61"/>
      <c r="I48" s="61" t="str">
        <f>IF(I47&lt;ferias_meses,I47+1,"")</f>
        <v/>
      </c>
      <c r="J48" s="78" t="str">
        <f>IF(I48="","",ferias_aporte)</f>
        <v/>
      </c>
      <c r="K48" s="78" t="str">
        <f>IF(I48="","",L47*ferias_taxa)</f>
        <v/>
      </c>
      <c r="L48" s="78" t="str">
        <f t="shared" si="0"/>
        <v/>
      </c>
      <c r="M48" s="61"/>
      <c r="N48" s="61"/>
      <c r="O48" s="61"/>
    </row>
    <row r="49" spans="1:15" x14ac:dyDescent="0.25">
      <c r="A49" s="61"/>
      <c r="B49" s="61"/>
      <c r="C49" s="61"/>
      <c r="D49" s="61"/>
      <c r="E49" s="61"/>
      <c r="F49" s="61"/>
      <c r="G49" s="61"/>
      <c r="H49" s="61"/>
      <c r="I49" s="61" t="str">
        <f>IF(I48&lt;ferias_meses,I48+1,"")</f>
        <v/>
      </c>
      <c r="J49" s="78" t="str">
        <f>IF(I49="","",ferias_aporte)</f>
        <v/>
      </c>
      <c r="K49" s="78" t="str">
        <f>IF(I49="","",L48*ferias_taxa)</f>
        <v/>
      </c>
      <c r="L49" s="78" t="str">
        <f t="shared" si="0"/>
        <v/>
      </c>
      <c r="M49" s="61"/>
      <c r="N49" s="61"/>
      <c r="O49" s="61"/>
    </row>
    <row r="50" spans="1:15" x14ac:dyDescent="0.25">
      <c r="A50" s="61"/>
      <c r="B50" s="61"/>
      <c r="C50" s="61"/>
      <c r="D50" s="61"/>
      <c r="E50" s="61"/>
      <c r="F50" s="61"/>
      <c r="G50" s="61"/>
      <c r="H50" s="61"/>
      <c r="I50" s="61" t="str">
        <f>IF(I49&lt;ferias_meses,I49+1,"")</f>
        <v/>
      </c>
      <c r="J50" s="78" t="str">
        <f>IF(I50="","",ferias_aporte)</f>
        <v/>
      </c>
      <c r="K50" s="78" t="str">
        <f>IF(I50="","",L49*ferias_taxa)</f>
        <v/>
      </c>
      <c r="L50" s="78" t="str">
        <f t="shared" si="0"/>
        <v/>
      </c>
      <c r="M50" s="61"/>
      <c r="N50" s="61"/>
      <c r="O50" s="61"/>
    </row>
    <row r="51" spans="1:15" x14ac:dyDescent="0.25">
      <c r="A51" s="61"/>
      <c r="B51" s="61"/>
      <c r="C51" s="61"/>
      <c r="D51" s="61"/>
      <c r="E51" s="61"/>
      <c r="F51" s="61"/>
      <c r="G51" s="61"/>
      <c r="H51" s="61"/>
      <c r="I51" s="61" t="str">
        <f>IF(I50&lt;ferias_meses,I50+1,"")</f>
        <v/>
      </c>
      <c r="J51" s="78" t="str">
        <f>IF(I51="","",ferias_aporte)</f>
        <v/>
      </c>
      <c r="K51" s="78" t="str">
        <f>IF(I51="","",L50*ferias_taxa)</f>
        <v/>
      </c>
      <c r="L51" s="78" t="str">
        <f t="shared" si="0"/>
        <v/>
      </c>
      <c r="M51" s="61"/>
      <c r="N51" s="61"/>
      <c r="O51" s="61"/>
    </row>
    <row r="52" spans="1:15" x14ac:dyDescent="0.25">
      <c r="A52" s="61"/>
      <c r="B52" s="61"/>
      <c r="C52" s="61"/>
      <c r="D52" s="61"/>
      <c r="E52" s="61"/>
      <c r="F52" s="61"/>
      <c r="G52" s="61"/>
      <c r="H52" s="61"/>
      <c r="I52" s="61" t="str">
        <f>IF(I51&lt;ferias_meses,I51+1,"")</f>
        <v/>
      </c>
      <c r="J52" s="78" t="str">
        <f>IF(I52="","",ferias_aporte)</f>
        <v/>
      </c>
      <c r="K52" s="78" t="str">
        <f>IF(I52="","",L51*ferias_taxa)</f>
        <v/>
      </c>
      <c r="L52" s="78" t="str">
        <f t="shared" si="0"/>
        <v/>
      </c>
      <c r="M52" s="61"/>
      <c r="N52" s="61"/>
      <c r="O52" s="61"/>
    </row>
    <row r="53" spans="1:15" x14ac:dyDescent="0.25">
      <c r="A53" s="61"/>
      <c r="B53" s="61"/>
      <c r="C53" s="61"/>
      <c r="D53" s="61"/>
      <c r="E53" s="61"/>
      <c r="F53" s="61"/>
      <c r="G53" s="61"/>
      <c r="H53" s="61"/>
      <c r="I53" s="61" t="str">
        <f>IF(I52&lt;ferias_meses,I52+1,"")</f>
        <v/>
      </c>
      <c r="J53" s="78" t="str">
        <f>IF(I53="","",ferias_aporte)</f>
        <v/>
      </c>
      <c r="K53" s="78" t="str">
        <f>IF(I53="","",L52*ferias_taxa)</f>
        <v/>
      </c>
      <c r="L53" s="78" t="str">
        <f t="shared" si="0"/>
        <v/>
      </c>
      <c r="M53" s="61"/>
      <c r="N53" s="61"/>
      <c r="O53" s="61"/>
    </row>
    <row r="54" spans="1:15" x14ac:dyDescent="0.25">
      <c r="A54" s="61"/>
      <c r="B54" s="61"/>
      <c r="C54" s="61"/>
      <c r="D54" s="61"/>
      <c r="E54" s="61"/>
      <c r="F54" s="61"/>
      <c r="G54" s="61"/>
      <c r="H54" s="61"/>
      <c r="I54" s="61" t="str">
        <f>IF(I53&lt;ferias_meses,I53+1,"")</f>
        <v/>
      </c>
      <c r="J54" s="78" t="str">
        <f>IF(I54="","",ferias_aporte)</f>
        <v/>
      </c>
      <c r="K54" s="78" t="str">
        <f>IF(I54="","",L53*ferias_taxa)</f>
        <v/>
      </c>
      <c r="L54" s="78" t="str">
        <f t="shared" si="0"/>
        <v/>
      </c>
      <c r="M54" s="61"/>
      <c r="N54" s="61"/>
      <c r="O54" s="61"/>
    </row>
    <row r="55" spans="1:15" x14ac:dyDescent="0.25">
      <c r="A55" s="61"/>
      <c r="B55" s="61"/>
      <c r="C55" s="61"/>
      <c r="D55" s="61"/>
      <c r="E55" s="61"/>
      <c r="F55" s="61"/>
      <c r="G55" s="61"/>
      <c r="H55" s="61"/>
      <c r="I55" s="61" t="str">
        <f>IF(I54&lt;ferias_meses,I54+1,"")</f>
        <v/>
      </c>
      <c r="J55" s="78" t="str">
        <f>IF(I55="","",ferias_aporte)</f>
        <v/>
      </c>
      <c r="K55" s="78" t="str">
        <f>IF(I55="","",L54*ferias_taxa)</f>
        <v/>
      </c>
      <c r="L55" s="78" t="str">
        <f t="shared" si="0"/>
        <v/>
      </c>
      <c r="M55" s="61"/>
      <c r="N55" s="61"/>
      <c r="O55" s="61"/>
    </row>
    <row r="56" spans="1:15" x14ac:dyDescent="0.25">
      <c r="A56" s="61"/>
      <c r="B56" s="61"/>
      <c r="C56" s="61"/>
      <c r="D56" s="61"/>
      <c r="E56" s="61"/>
      <c r="F56" s="61"/>
      <c r="G56" s="61"/>
      <c r="H56" s="61"/>
      <c r="I56" s="61" t="str">
        <f>IF(I55&lt;ferias_meses,I55+1,"")</f>
        <v/>
      </c>
      <c r="J56" s="78" t="str">
        <f>IF(I56="","",ferias_aporte)</f>
        <v/>
      </c>
      <c r="K56" s="78" t="str">
        <f>IF(I56="","",L55*ferias_taxa)</f>
        <v/>
      </c>
      <c r="L56" s="78" t="str">
        <f t="shared" si="0"/>
        <v/>
      </c>
      <c r="M56" s="61"/>
      <c r="N56" s="61"/>
      <c r="O56" s="61"/>
    </row>
    <row r="57" spans="1:15" x14ac:dyDescent="0.25">
      <c r="A57" s="61"/>
      <c r="B57" s="61"/>
      <c r="C57" s="61"/>
      <c r="D57" s="61"/>
      <c r="E57" s="61"/>
      <c r="F57" s="61"/>
      <c r="G57" s="61"/>
      <c r="H57" s="61"/>
      <c r="I57" s="61" t="str">
        <f>IF(I56&lt;ferias_meses,I56+1,"")</f>
        <v/>
      </c>
      <c r="J57" s="78" t="str">
        <f>IF(I57="","",ferias_aporte)</f>
        <v/>
      </c>
      <c r="K57" s="78" t="str">
        <f>IF(I57="","",L56*ferias_taxa)</f>
        <v/>
      </c>
      <c r="L57" s="78" t="str">
        <f t="shared" si="0"/>
        <v/>
      </c>
      <c r="M57" s="61"/>
      <c r="N57" s="61"/>
      <c r="O57" s="61"/>
    </row>
    <row r="58" spans="1:15" x14ac:dyDescent="0.25">
      <c r="A58" s="61"/>
      <c r="B58" s="61"/>
      <c r="C58" s="61"/>
      <c r="D58" s="61"/>
      <c r="E58" s="61"/>
      <c r="F58" s="61"/>
      <c r="G58" s="61"/>
      <c r="H58" s="61"/>
      <c r="I58" s="61" t="str">
        <f>IF(I57&lt;ferias_meses,I57+1,"")</f>
        <v/>
      </c>
      <c r="J58" s="78" t="str">
        <f>IF(I58="","",ferias_aporte)</f>
        <v/>
      </c>
      <c r="K58" s="78" t="str">
        <f>IF(I58="","",L57*ferias_taxa)</f>
        <v/>
      </c>
      <c r="L58" s="78" t="str">
        <f t="shared" si="0"/>
        <v/>
      </c>
      <c r="M58" s="61"/>
      <c r="N58" s="61"/>
      <c r="O58" s="61"/>
    </row>
    <row r="59" spans="1:15" x14ac:dyDescent="0.25">
      <c r="A59" s="61"/>
      <c r="B59" s="61"/>
      <c r="C59" s="61"/>
      <c r="D59" s="61"/>
      <c r="E59" s="61"/>
      <c r="F59" s="61"/>
      <c r="G59" s="61"/>
      <c r="H59" s="61"/>
      <c r="I59" s="61" t="str">
        <f>IF(I58&lt;ferias_meses,I58+1,"")</f>
        <v/>
      </c>
      <c r="J59" s="78" t="str">
        <f>IF(I59="","",ferias_aporte)</f>
        <v/>
      </c>
      <c r="K59" s="78" t="str">
        <f>IF(I59="","",L58*ferias_taxa)</f>
        <v/>
      </c>
      <c r="L59" s="78" t="str">
        <f t="shared" si="0"/>
        <v/>
      </c>
      <c r="M59" s="61"/>
      <c r="N59" s="61"/>
      <c r="O59" s="61"/>
    </row>
    <row r="60" spans="1:15" x14ac:dyDescent="0.25">
      <c r="A60" s="61"/>
      <c r="B60" s="61"/>
      <c r="C60" s="61"/>
      <c r="D60" s="61"/>
      <c r="E60" s="61"/>
      <c r="F60" s="61"/>
      <c r="G60" s="61"/>
      <c r="H60" s="61"/>
      <c r="I60" s="61" t="str">
        <f>IF(I59&lt;ferias_meses,I59+1,"")</f>
        <v/>
      </c>
      <c r="J60" s="78" t="str">
        <f>IF(I60="","",ferias_aporte)</f>
        <v/>
      </c>
      <c r="K60" s="78" t="str">
        <f>IF(I60="","",L59*ferias_taxa)</f>
        <v/>
      </c>
      <c r="L60" s="78" t="str">
        <f t="shared" si="0"/>
        <v/>
      </c>
      <c r="M60" s="61"/>
      <c r="N60" s="61"/>
      <c r="O60" s="61"/>
    </row>
    <row r="61" spans="1:15" x14ac:dyDescent="0.25">
      <c r="A61" s="61"/>
      <c r="B61" s="61"/>
      <c r="C61" s="61"/>
      <c r="D61" s="61"/>
      <c r="E61" s="61"/>
      <c r="F61" s="61"/>
      <c r="G61" s="61"/>
      <c r="H61" s="61"/>
      <c r="I61" s="61" t="str">
        <f>IF(I60&lt;ferias_meses,I60+1,"")</f>
        <v/>
      </c>
      <c r="J61" s="78" t="str">
        <f>IF(I61="","",ferias_aporte)</f>
        <v/>
      </c>
      <c r="K61" s="78" t="str">
        <f>IF(I61="","",L60*ferias_taxa)</f>
        <v/>
      </c>
      <c r="L61" s="78" t="str">
        <f t="shared" si="0"/>
        <v/>
      </c>
      <c r="M61" s="61"/>
      <c r="N61" s="61"/>
      <c r="O61" s="61"/>
    </row>
    <row r="62" spans="1:15" x14ac:dyDescent="0.25">
      <c r="A62" s="61"/>
      <c r="B62" s="61"/>
      <c r="C62" s="61"/>
      <c r="D62" s="61"/>
      <c r="E62" s="61"/>
      <c r="F62" s="61"/>
      <c r="G62" s="61"/>
      <c r="H62" s="61"/>
      <c r="I62" s="61" t="str">
        <f>IF(I61&lt;ferias_meses,I61+1,"")</f>
        <v/>
      </c>
      <c r="J62" s="78" t="str">
        <f>IF(I62="","",ferias_aporte)</f>
        <v/>
      </c>
      <c r="K62" s="78" t="str">
        <f>IF(I62="","",L61*ferias_taxa)</f>
        <v/>
      </c>
      <c r="L62" s="78" t="str">
        <f t="shared" si="0"/>
        <v/>
      </c>
      <c r="M62" s="61"/>
      <c r="N62" s="61"/>
      <c r="O62" s="61"/>
    </row>
    <row r="63" spans="1:15" x14ac:dyDescent="0.25">
      <c r="A63" s="61"/>
      <c r="B63" s="61"/>
      <c r="C63" s="61"/>
      <c r="D63" s="61"/>
      <c r="E63" s="61"/>
      <c r="F63" s="61"/>
      <c r="G63" s="61"/>
      <c r="H63" s="61"/>
      <c r="I63" s="61" t="str">
        <f>IF(I62&lt;ferias_meses,I62+1,"")</f>
        <v/>
      </c>
      <c r="J63" s="78" t="str">
        <f>IF(I63="","",ferias_aporte)</f>
        <v/>
      </c>
      <c r="K63" s="78" t="str">
        <f>IF(I63="","",L62*ferias_taxa)</f>
        <v/>
      </c>
      <c r="L63" s="78" t="str">
        <f t="shared" si="0"/>
        <v/>
      </c>
      <c r="M63" s="61"/>
      <c r="N63" s="61"/>
      <c r="O63" s="61"/>
    </row>
  </sheetData>
  <sheetProtection sheet="1" objects="1" scenarios="1"/>
  <mergeCells count="3">
    <mergeCell ref="A1:C1"/>
    <mergeCell ref="E1:G1"/>
    <mergeCell ref="I1:L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20</vt:i4>
      </vt:variant>
    </vt:vector>
  </HeadingPairs>
  <TitlesOfParts>
    <vt:vector size="24" baseType="lpstr">
      <vt:lpstr>Simulador de Patrimônio</vt:lpstr>
      <vt:lpstr>Planejamento de Férias</vt:lpstr>
      <vt:lpstr>Chave</vt:lpstr>
      <vt:lpstr>Apoio Projeções</vt:lpstr>
      <vt:lpstr>anos</vt:lpstr>
      <vt:lpstr>anos_cenarios</vt:lpstr>
      <vt:lpstr>aporte</vt:lpstr>
      <vt:lpstr>aporte_sugerido</vt:lpstr>
      <vt:lpstr>dividendos_aporte</vt:lpstr>
      <vt:lpstr>dividendos_sugerido</vt:lpstr>
      <vt:lpstr>ferias_aporte</vt:lpstr>
      <vt:lpstr>ferias_meses</vt:lpstr>
      <vt:lpstr>ferias_meta</vt:lpstr>
      <vt:lpstr>ferias_reserva</vt:lpstr>
      <vt:lpstr>ferias_taxa</vt:lpstr>
      <vt:lpstr>patrimonio_acumulado</vt:lpstr>
      <vt:lpstr>patrimonio_aporte</vt:lpstr>
      <vt:lpstr>patrimonio_sugerido</vt:lpstr>
      <vt:lpstr>perfil</vt:lpstr>
      <vt:lpstr>projecao_ferias</vt:lpstr>
      <vt:lpstr>rendimento_carteira</vt:lpstr>
      <vt:lpstr>salario</vt:lpstr>
      <vt:lpstr>tabela_perfis</vt:lpstr>
      <vt:lpstr>taxa_mensal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Walisson Luiz</dc:creator>
  <cp:lastModifiedBy>Walisson Luiz</cp:lastModifiedBy>
  <dcterms:created xsi:type="dcterms:W3CDTF">2026-09-30T23:03:38Z</dcterms:created>
  <dcterms:modified xsi:type="dcterms:W3CDTF">2026-10-01T17:57:00Z</dcterms:modified>
</cp:coreProperties>
</file>